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Trang tính14" sheetId="2" r:id="rId6"/>
    <sheet state="visible" name="Registration" sheetId="3" r:id="rId7"/>
    <sheet state="visible" name="Modify an item in the cart" sheetId="4" r:id="rId8"/>
    <sheet state="visible" name="Get a cart" sheetId="5" r:id="rId9"/>
    <sheet state="visible" name="Get cart items" sheetId="6" r:id="rId10"/>
    <sheet state="visible" name="Get all products" sheetId="7" r:id="rId11"/>
    <sheet state="visible" name="Get a product" sheetId="8" r:id="rId12"/>
    <sheet state="visible" name="Create a new order" sheetId="9" r:id="rId13"/>
    <sheet state="visible" name="Create a new cart" sheetId="10" r:id="rId14"/>
    <sheet state="visible" name="Add an item to cart" sheetId="11" r:id="rId15"/>
    <sheet state="visible" name="Cart API" sheetId="12" r:id="rId16"/>
    <sheet state="visible" name="Table " sheetId="13" r:id="rId17"/>
  </sheets>
  <definedNames/>
  <calcPr/>
</workbook>
</file>

<file path=xl/sharedStrings.xml><?xml version="1.0" encoding="utf-8"?>
<sst xmlns="http://schemas.openxmlformats.org/spreadsheetml/2006/main" count="1634" uniqueCount="809">
  <si>
    <t>Function</t>
  </si>
  <si>
    <t>Product Management</t>
  </si>
  <si>
    <t>Documentation</t>
  </si>
  <si>
    <t>Registration API</t>
  </si>
  <si>
    <t>TOTAL</t>
  </si>
  <si>
    <t>PASS</t>
  </si>
  <si>
    <t>FAIL</t>
  </si>
  <si>
    <t>BLOCKED</t>
  </si>
  <si>
    <t>NOT TESTED</t>
  </si>
  <si>
    <t xml:space="preserve">Host </t>
  </si>
  <si>
    <t>https://simple-grocery-store-api.click</t>
  </si>
  <si>
    <t xml:space="preserve">API </t>
  </si>
  <si>
    <t>POST /api-clients</t>
  </si>
  <si>
    <t>Test Case ID</t>
  </si>
  <si>
    <t>Test Case Title</t>
  </si>
  <si>
    <t>Pre-requisites</t>
  </si>
  <si>
    <t>Test Data</t>
  </si>
  <si>
    <t>Expected Result (ER)</t>
  </si>
  <si>
    <t>Priority</t>
  </si>
  <si>
    <t>Result</t>
  </si>
  <si>
    <t>Comments</t>
  </si>
  <si>
    <t>TC_GetallOrders_08</t>
  </si>
  <si>
    <t>[API][200][GET] - Verify get all orders successfully with a valid token</t>
  </si>
  <si>
    <t>1. API URL  is active
2. Postman works well
3. Client created order before</t>
  </si>
  <si>
    <t>GET: /orders</t>
  </si>
  <si>
    <t>Response status: 200
Response content: a list of orders created by the client.</t>
  </si>
  <si>
    <t>HIgh</t>
  </si>
  <si>
    <t>TC_GetallOrders_09</t>
  </si>
  <si>
    <t>[API][200][GET] - Verify call successfully with a valid token and return empty data in case client did not create order before</t>
  </si>
  <si>
    <t>1. API URL  is active
2. Postman works well
3. Client not create any order</t>
  </si>
  <si>
    <t>Response Status: 200 OK
Response body should return an empty array</t>
  </si>
  <si>
    <t>HIGH</t>
  </si>
  <si>
    <t>TC_GetallOrders_10</t>
  </si>
  <si>
    <t>[API][200][GET] - Verify call successfully with a valid token and return empty data in case client created orders then delere all order before</t>
  </si>
  <si>
    <t>1. API URL  is active
2. Postman works well
3. Client created order before
4. Client deleted all order</t>
  </si>
  <si>
    <t>TC_GetallOrders_11</t>
  </si>
  <si>
    <t>[API][404][GET] - Verify get all orders unsuccessfully with invalid API path</t>
  </si>
  <si>
    <t>1. API URL  is active
2. Postman works well</t>
  </si>
  <si>
    <t>GET: /order</t>
  </si>
  <si>
    <t>Response status: 404Response content: {    "error": "The resource could not be found. Check your endpoint and request method."}</t>
  </si>
  <si>
    <t>high</t>
  </si>
  <si>
    <t>TC_GetallOrders_12</t>
  </si>
  <si>
    <t>[API][401][GET] - Verify get all orders unsuccessfully with an unexisted token</t>
  </si>
  <si>
    <t>GET: /orderSet unexisted token for Authorization in Header</t>
  </si>
  <si>
    <t>Response status: 401Response content: {    "error": "Invalid bearer token."}</t>
  </si>
  <si>
    <t>TC_GetallOrders_13</t>
  </si>
  <si>
    <t>[API][401][GET] - Verify get all orders unsuccessfully with an empty token</t>
  </si>
  <si>
    <t>GET: /orderSet empty for Authorization in Header</t>
  </si>
  <si>
    <t>TC_GetallOrders_14</t>
  </si>
  <si>
    <t>[API][400][POST] - Verify call api fails due to invalid HTTP method</t>
  </si>
  <si>
    <t>POST: /orders</t>
  </si>
  <si>
    <t>Response status: 400Response content: {
    "error": "Invalid or missing customer name."
}</t>
  </si>
  <si>
    <t>TC_GetallOrders_15</t>
  </si>
  <si>
    <t>[API][400][PUT] - Verify call api fails due to invalid HTTP method</t>
  </si>
  <si>
    <t>PUT: /orders</t>
  </si>
  <si>
    <t>High</t>
  </si>
  <si>
    <t>TC_GetallOrders_16</t>
  </si>
  <si>
    <t>[API][400][PATCH] - Verify call api fails due to invalid HTTP method</t>
  </si>
  <si>
    <t>PATCH: /orders</t>
  </si>
  <si>
    <t>TC_01</t>
  </si>
  <si>
    <t>Verify successfull  access with admin account</t>
  </si>
  <si>
    <t>TC_02</t>
  </si>
  <si>
    <t xml:space="preserve">Verify unsuccessfull non-admin </t>
  </si>
  <si>
    <t>Advanced Search</t>
  </si>
  <si>
    <t>TC_04</t>
  </si>
  <si>
    <t>Verify Search  successfull by Status</t>
  </si>
  <si>
    <t>TC_05</t>
  </si>
  <si>
    <t>Verify search successfull for Organization</t>
  </si>
  <si>
    <t>TC_06</t>
  </si>
  <si>
    <t>Verify search successfull for email</t>
  </si>
  <si>
    <t>TC_07</t>
  </si>
  <si>
    <t>Verify search successfull  by specific role</t>
  </si>
  <si>
    <t>TC_08</t>
  </si>
  <si>
    <t>Verify search successfull  with all roles option</t>
  </si>
  <si>
    <t>TC_09</t>
  </si>
  <si>
    <t>Verify search successfull  with role anh status</t>
  </si>
  <si>
    <t>TC_10</t>
  </si>
  <si>
    <t>Verify search successfull  with role and organization</t>
  </si>
  <si>
    <t>TC_11</t>
  </si>
  <si>
    <t>Verify search successfull  with role and email</t>
  </si>
  <si>
    <t>TC_12</t>
  </si>
  <si>
    <t>Verify search successfull when all filters are applied</t>
  </si>
  <si>
    <t>Create new user</t>
  </si>
  <si>
    <t>TC_13</t>
  </si>
  <si>
    <t xml:space="preserve">Verify successfully user creation with all valid </t>
  </si>
  <si>
    <t>TC_14</t>
  </si>
  <si>
    <t>Verify unsuccessfully user creation with invalid email format</t>
  </si>
  <si>
    <t>TC_15</t>
  </si>
  <si>
    <t>Verify unsuccessfullyuser creation with password less than 8 characters</t>
  </si>
  <si>
    <t>TC_16</t>
  </si>
  <si>
    <t>Verify unsuccessfully user creation with password less than 8 characters</t>
  </si>
  <si>
    <t>TC_17</t>
  </si>
  <si>
    <t>Verify unsuccessfully user creation with password least one  characters</t>
  </si>
  <si>
    <t>TC_18</t>
  </si>
  <si>
    <t>Verify unsuccessfully user creation with  password empty</t>
  </si>
  <si>
    <t>Registration</t>
  </si>
  <si>
    <t>TC_Registration_01</t>
  </si>
  <si>
    <t>[API][201][POST] - Verify create new client account successfully</t>
  </si>
  <si>
    <t>{
   "clientName": "Postman on Valentin's computer",
   "clientEmail": "valentin@example.com"
}</t>
  </si>
  <si>
    <t>Status: 201
The response body will contain the access token.</t>
  </si>
  <si>
    <t xml:space="preserve">Access token: </t>
  </si>
  <si>
    <t>TC_Registration_02</t>
  </si>
  <si>
    <t>[API][404][POST] - Verify create new account unsuccessfully with invalid API path</t>
  </si>
  <si>
    <t>POST: /api-client
Body
{
   "clientName": "Postman on Valentin's computer",
   "clientEmail": "valentin1@example.com"
}</t>
  </si>
  <si>
    <t>Response Status: 404
Response content: 
{"error": "The resource could not be found. Check your endpoint and request method."}</t>
  </si>
  <si>
    <t>TC_Registration_03</t>
  </si>
  <si>
    <t>[API][400] - Verify failure with invalid email format</t>
  </si>
  <si>
    <t>POST: /api-clients
Body:
{
"clientName": "Duyen",
"clientEmail": "Duyen11"
}</t>
  </si>
  <si>
    <t>Status: 400 Bad Request
Body:
{"error": "Invalid or missing client email."}</t>
  </si>
  <si>
    <t>TC_Registration_04</t>
  </si>
  <si>
    <t>[API][400] - Verify failure with empty email</t>
  </si>
  <si>
    <t>POST: /api-clients
Body:
{
"clientName": "Duyen",
"clientEmail": ""
}</t>
  </si>
  <si>
    <t>TC_Registration_05</t>
  </si>
  <si>
    <t>[API][400] - Verify failure with empty client name</t>
  </si>
  <si>
    <t>POST: /api-clients
Body:
{
"clientName": "",
"clientEmail": "Duyen@gmail.com"
}</t>
  </si>
  <si>
    <t>Status: 400 Bad Request
Body:
{"error": "Invalid or missing client name."}</t>
  </si>
  <si>
    <t>TC_Registration_06</t>
  </si>
  <si>
    <t>[API][400] - Verify failure without clientName field</t>
  </si>
  <si>
    <t>POST: /api-clients
Body:
{
"clientEmail": "Duyen@gmail.com"
}</t>
  </si>
  <si>
    <t>TC_Registration_07</t>
  </si>
  <si>
    <t>[API][400] - Verify failure without clientEmail field</t>
  </si>
  <si>
    <t>POST: /api-clients
Body:
{
"clientName": "",
}</t>
  </si>
  <si>
    <t>TC_Registration_08</t>
  </si>
  <si>
    <t>[API][400] - Verify failure when clientName is a number</t>
  </si>
  <si>
    <t>OST: /api-clients
Body:
{
"clientName": 123,
"clientEmail": "duyenn@gmail.com"
}</t>
  </si>
  <si>
    <t xml:space="preserve"> OST: /api-clients
Body:
{
"clientName": 123,
"clientEmail": "duyenn@gmail.com"
}</t>
  </si>
  <si>
    <t>TC_Registration_09</t>
  </si>
  <si>
    <t>Verify failure with invalid Email is incorrectly formatted</t>
  </si>
  <si>
    <t>POST: /api-clients
Body:
{
"clientName": 123,
"clientEmail": "duyenn@788899l.com"
}</t>
  </si>
  <si>
    <t>Status: 400 Bad Request
Body:
{"error": "Invalid or missing client email."}</t>
  </si>
  <si>
    <t>TC_Registration_10</t>
  </si>
  <si>
    <t>[API][403][GET] - Verify can not call API successfully due to invalid method</t>
  </si>
  <si>
    <t>GET: /api-clients
Body
{
   "clientName": "Postman on Valentin's computer",
   "clientEmail": "valentin1@example.com"
}</t>
  </si>
  <si>
    <t>Response Status: 403
Response content: 
{"error": "The resource could not be found. Check your endpoint and request method."}</t>
  </si>
  <si>
    <t>TC_Registration_11</t>
  </si>
  <si>
    <t>[API][404][PUT] - Verify can not call API successfully due to invalid method</t>
  </si>
  <si>
    <t>PUT: /api-clients
Body
{
   "clientName": "Postman on Valentin's computer",
   "clientEmail": "valentin1@example.com"
}</t>
  </si>
  <si>
    <t>TC_Registration_12</t>
  </si>
  <si>
    <t>[API][404][PATCH] - Verify can not call API successfully due to invalid method</t>
  </si>
  <si>
    <t>PATCH: /api-clients
Body
{
   "clientName": "Postman on Valentin's computer",
   "clientEmail": "valentin1@example.com"
}</t>
  </si>
  <si>
    <t>TC_Registration_13</t>
  </si>
  <si>
    <t>[API][404][DELETE] - Verify can not call API successfully due to invalid method</t>
  </si>
  <si>
    <t>DELETE: /api-clients
Body
{
   "clientName": "Postman on Valentin's computer",
   "clientEmail": "valentin1@example.com"
}</t>
  </si>
  <si>
    <t>TC_Registration_14</t>
  </si>
  <si>
    <t>[API][409][POST] - Verify can not create new client account due to send data of registered email</t>
  </si>
  <si>
    <t>Response status: 409
Response content: 
{
    "error": "API client already registered. Try a different email."
}</t>
  </si>
  <si>
    <t>Note</t>
  </si>
  <si>
    <t>TC_Modifyitems_01</t>
  </si>
  <si>
    <t>[API][204][PATCH]-Verify modify an  items successfull with all fileds</t>
  </si>
  <si>
    <t xml:space="preserve">
1. API URL is active
2. Postman works well
3. Client created a new cart before</t>
  </si>
  <si>
    <t xml:space="preserve">
PATCH/carts/8k0K7OkxDGMTnYzPX79eD/items/232750588
Body:
{
    "quantity": 5
}</t>
  </si>
  <si>
    <t>Response status: 204 OK
Response body:
Add the number of successful items</t>
  </si>
  <si>
    <t>TC_Modifyitems_02</t>
  </si>
  <si>
    <t>[API][404][PATCH]-Verify modify an  items unsuccessfull with invalid fails API path</t>
  </si>
  <si>
    <t xml:space="preserve">
PATCH/cart/8k0K7OkxDGMTnYzPX79eD/items/232750588
Body:
{
    "quantity": 5
}</t>
  </si>
  <si>
    <t>Response status: 404
{
    "error": "The resource could not be found. Check your endpoint and request method."
}</t>
  </si>
  <si>
    <t>TC_Modifyitems_03</t>
  </si>
  <si>
    <t>[API][400][PATCH]-Verify get  cart items  unsuccessfull when invalid cartld</t>
  </si>
  <si>
    <t xml:space="preserve">
1. API URL is active
2. Postman works well
3. Client created a new cart before
4. Client added an item</t>
  </si>
  <si>
    <t xml:space="preserve">
PATCH/cart/8k0K7OkxDGMTnYzPX7/items/232750588
Body:
{
    "quantity": 5
}</t>
  </si>
  <si>
    <t xml:space="preserve">Response status: 400
Response body:
{
    "error": "The request body could not be parsed."
}
</t>
  </si>
  <si>
    <t>TC_Modifyitems_04</t>
  </si>
  <si>
    <t>[API][400][PATCH]-Verify get cart items  unsuccessfull when empty cartld</t>
  </si>
  <si>
    <t xml:space="preserve">
PATCH/carts//232750588
{
    "quantity": 5
}</t>
  </si>
  <si>
    <t xml:space="preserve">Response status: 400
Response body:
{
    "error": "No cart with id %7B%7BcartId%7D%7D."
}
</t>
  </si>
  <si>
    <t>TC_Modifyitems_05</t>
  </si>
  <si>
    <t>[API][400][PATCH]-Verify get  cart items  unsuccessfull when invalid items</t>
  </si>
  <si>
    <t xml:space="preserve">
PATCH/cart/8k0K7OkxDGMTnYzPX7/items/
Body:
{
    "quantity": 5
}</t>
  </si>
  <si>
    <t xml:space="preserve">Response status: 40
Response body:
{
    "error": "The request body could not be parsed."
}
</t>
  </si>
  <si>
    <t>TC_Modifyitems_06</t>
  </si>
  <si>
    <t>[API][400][PATCH]-Verify get cart items  unsuccessfull when empty  items</t>
  </si>
  <si>
    <t xml:space="preserve">
PATCH/carts/8k0K7OkxDGMTnYzPX79eD/
{
    "quantity": 5
}</t>
  </si>
  <si>
    <t>TC_Modifyitems_07</t>
  </si>
  <si>
    <t>[API][400][PATCH]-Verify get cart items  unsuccessfull when missing quantity in body</t>
  </si>
  <si>
    <t xml:space="preserve">
PATCH/carts/8k0K7OkxDGMTnYzPX79eD/items/232750588
Body:
    {
    "quantity": 
}</t>
  </si>
  <si>
    <t xml:space="preserve">Response status: 400
Response body:
{
    "error": "The request body could not be parsed."
}
</t>
  </si>
  <si>
    <t>TC_Modifyitems_08</t>
  </si>
  <si>
    <t>[API][400][PATCH] - Verify modify item unsuccessful with empty payload</t>
  </si>
  <si>
    <t xml:space="preserve">
PATCH/carts/8k0K7OkxDGMTnYzPX79eD/items/232750588
Body:
    {
}</t>
  </si>
  <si>
    <t>TC_Modifyitems_09</t>
  </si>
  <si>
    <t>[API][400][PATCH]-Verify modify an  items  unsuccessfull when  quantity has invalid type</t>
  </si>
  <si>
    <t xml:space="preserve">
PATCH/carts/8k0K7OkxDGMTnYzPX79eD/items/232750588
Body:
    {
    "quantity": abc
}</t>
  </si>
  <si>
    <t>TC_Modifyitems_10</t>
  </si>
  <si>
    <t>[API][400][PATCH]-Verify modify an  items  unsuccessfull when  quantity is a negative number</t>
  </si>
  <si>
    <t xml:space="preserve">
PATCH/carts/8k0K7OkxDGMTnYzPX79eD/items/232750588
Body:
    {
    "quantity": -2
}</t>
  </si>
  <si>
    <t xml:space="preserve">Response status: 400
Response body:
{
    "error": "Invalid or missing quantity."
}
</t>
  </si>
  <si>
    <t>TC_Modifyitems_11</t>
  </si>
  <si>
    <t>[API][404][PATCH]-Verify modify an  items  unsuccessfull when a cart has not been created beforehand</t>
  </si>
  <si>
    <t xml:space="preserve">
1. API URL is active
2. Postman works well
3. Client has NOT created a cart</t>
  </si>
  <si>
    <t xml:space="preserve">
PATCH/carts/dsdsds/items
Body:
    {
    "quantity": 5
}</t>
  </si>
  <si>
    <t xml:space="preserve">Response status: 404
Response body:
{
    "error": "No cart with id %7B%7BcartId%7D%7D."
}
</t>
  </si>
  <si>
    <t>TC_Modifyitems_12</t>
  </si>
  <si>
    <t>[API][400][POST]-Verify modify an  items unsuccessfull when due to invalid method</t>
  </si>
  <si>
    <t xml:space="preserve">
POST/carts/dsdsds/items
Body:
    {
    "quantity": 5
}</t>
  </si>
  <si>
    <t xml:space="preserve">Response status: 400
Response body:
{
    "error": "Invalid or missing productId."
}
</t>
  </si>
  <si>
    <t>TC_Modifyitems_13</t>
  </si>
  <si>
    <t>[API][400][GET]-Verify modify an  items unsuccessfull when due to invalid method</t>
  </si>
  <si>
    <t xml:space="preserve">
GET/carts/dsdsds/items
Body:
    {
    "quantity": 5
}</t>
  </si>
  <si>
    <t>TC_Modifyitems_14</t>
  </si>
  <si>
    <t>[API][400][PUT]-Verify modify an  items unsuccessfull when due to invalid method</t>
  </si>
  <si>
    <t xml:space="preserve">
PUT/carts/dsdsds/items
Body:
    {
    "quantity": 5
}</t>
  </si>
  <si>
    <t>TC_Modifyitems_15</t>
  </si>
  <si>
    <t>[API][400][DELETE]-Verify modify an  items unsuccessfull when due to invalid method</t>
  </si>
  <si>
    <t xml:space="preserve">
DELETE/carts/dsdsds/items
Body:
    {
    "quantity": 5
}</t>
  </si>
  <si>
    <t>TC_Getacart_01</t>
  </si>
  <si>
    <t>[API][200][GET]-Verify get a cart successfull with all fileds</t>
  </si>
  <si>
    <t xml:space="preserve">
GET/carts/8yUwhIpvO3nKzP3O-HhSl</t>
  </si>
  <si>
    <t>Response status: 200 OK
Response body: 
{
    "items": [],
    "created": "2026-03-19T16:18:58.526Z"
}</t>
  </si>
  <si>
    <t>TC_Getacart_02</t>
  </si>
  <si>
    <t>[API][404][GET]-Verify get a cart unsuccessfull with invalid fails API path</t>
  </si>
  <si>
    <t xml:space="preserve">
GET/cart</t>
  </si>
  <si>
    <t>Response status: 404
{
    "error": "The resource could not be found. Check your endpoint and request method."
}</t>
  </si>
  <si>
    <t>TC_Getacart_03</t>
  </si>
  <si>
    <t>[API][404][GET]-Verify get a cart  unsuccessfull when invalid cartld</t>
  </si>
  <si>
    <t xml:space="preserve">
GET/carts/227R8T2Q_CSpV4lVVuFchE
</t>
  </si>
  <si>
    <t xml:space="preserve">Response status: 404
Response body:
{
    "error": "No cart with id nAfsKICqMFUQQISC96HI."
}
</t>
  </si>
  <si>
    <t>TC_Getacart_04</t>
  </si>
  <si>
    <t>[API][404][GET]-Verify get a cart  unsuccessfull when empty cartld</t>
  </si>
  <si>
    <t xml:space="preserve">
GET/carts/
</t>
  </si>
  <si>
    <t xml:space="preserve">Response status: 404
Response body:
{
    "error": "The resource could not be found. Check your endpoint and request method."
}
</t>
  </si>
  <si>
    <t>TC_Getacart_05</t>
  </si>
  <si>
    <t>[API][404][GET]-Verify get a cart  unsuccessfull when a cart has not been created beforehand</t>
  </si>
  <si>
    <t xml:space="preserve">
1. API URL is active
2. Postman works well
</t>
  </si>
  <si>
    <t xml:space="preserve">
GET/carts
</t>
  </si>
  <si>
    <t xml:space="preserve">Response status: 404
Response body:
{
    "error": "The resource could not be found. Check your endpoint and request method."
}
</t>
  </si>
  <si>
    <t>TC_Getacart_06</t>
  </si>
  <si>
    <t>[API][404][POST]-Verify get a cart unsuccessfull when due to invalid method</t>
  </si>
  <si>
    <t xml:space="preserve">
POST/carts/N7R8T2Q_CSpV4lVVuFchE
</t>
  </si>
  <si>
    <t>TC_Getacart_07</t>
  </si>
  <si>
    <t>[API][404][PUT]-Verify get a cart unsuccessfull when dur to invalid method</t>
  </si>
  <si>
    <t xml:space="preserve">
PUT/carts/N7R8T2Q_CSpV4lVVuFchE
</t>
  </si>
  <si>
    <t>TC_Getacart_08</t>
  </si>
  <si>
    <t>[API][404][PATCH]-Verify get a cart unsuccessfull when dur to invalid method</t>
  </si>
  <si>
    <t xml:space="preserve">
PATCH/carts/N7R8T2Q_CSpV4lVVuFchE
</t>
  </si>
  <si>
    <t>TC_Getacart_09</t>
  </si>
  <si>
    <t>[API][404][DELETE]-Verify get a cart unsuccessfull when dur to invalid method</t>
  </si>
  <si>
    <t xml:space="preserve">
DELETE/carts/N7R8T2Q_CSpV4lVVuFchE
</t>
  </si>
  <si>
    <t>TC_GetcartItems_01</t>
  </si>
  <si>
    <t>[API][200][GET]-Verify get cart items successfull with all fileds</t>
  </si>
  <si>
    <t xml:space="preserve">
GET/carts/8yUwhIpvO3nKzP3O-HhSl/items</t>
  </si>
  <si>
    <t>Response status: 200 OK
Response body:[
    {
        "productId": 4643,
        "id": 232750588,
        "quantity": 1
    }
]</t>
  </si>
  <si>
    <t>TC_GetcartItems_02</t>
  </si>
  <si>
    <t>[API][200][GET]-Verify get cart items successfull with empty cart</t>
  </si>
  <si>
    <t xml:space="preserve">Response status: 200 OK
Response body:
return an empty array
</t>
  </si>
  <si>
    <t>TC_GetcartItems_03</t>
  </si>
  <si>
    <t>[API][404][GET]-Verify get cart items unsuccessfull with invalid fails API path</t>
  </si>
  <si>
    <t xml:space="preserve">
GET/cart/8yUwhIpvO3nKzP3O-HhSl/items</t>
  </si>
  <si>
    <t>Response status: 4004
{
    "error": "The resource could not be found. Check your endpoint and request method."
}</t>
  </si>
  <si>
    <t>TC_GetcartItems_04</t>
  </si>
  <si>
    <t>[API][404][GET]-Verify get  cart items  unsuccessfull when invalid cartld</t>
  </si>
  <si>
    <t xml:space="preserve">Response status: 404
Response body:
{
    "error": "No cart with id nAfsKICqMFUQQISC96HI."
}
</t>
  </si>
  <si>
    <t>TC_GetcartItems_05</t>
  </si>
  <si>
    <t>[API][404][GET]-Verify get cart items  unsuccessfull when empty cartld</t>
  </si>
  <si>
    <t>TC_GetcartItems_06</t>
  </si>
  <si>
    <t>[API][404][GET]-Verify get cart items  unsuccessfull when a cart has not been created beforehand</t>
  </si>
  <si>
    <t>TC_GetcartItems_07</t>
  </si>
  <si>
    <t>[API][400][POST]-Verify get cart items unsuccessfull when due to invalid method</t>
  </si>
  <si>
    <t xml:space="preserve">
POST/carts/8yUwhIpvO3nKzP3O-HhSl/items</t>
  </si>
  <si>
    <t>TC_GetcartItems_08</t>
  </si>
  <si>
    <t>[API][400][PUT]-Verify get cart item unsuccessfull when dur to invalid method</t>
  </si>
  <si>
    <t xml:space="preserve">
PUT/carts/8yUwhIpvO3nKzP3O-HhSl/items</t>
  </si>
  <si>
    <t>TC_GetcartItems_09</t>
  </si>
  <si>
    <t>[API][400][PATCH]-Verify get cart item unsuccessfull when dur to invalid method</t>
  </si>
  <si>
    <t xml:space="preserve">
PATCH/carts/8yUwhIpvO3nKzP3O-HhSl/items</t>
  </si>
  <si>
    <t>TC_GetcartItems_10</t>
  </si>
  <si>
    <t>[API][400][DELETE]-Verify getcart item unsuccessfull when dur to invalid method</t>
  </si>
  <si>
    <t xml:space="preserve">
DELETE/carts/8yUwhIpvO3nKzP3O-HhSl/items</t>
  </si>
  <si>
    <t>TC_GetallPro_01</t>
  </si>
  <si>
    <t>[API][200][GET] - Verify get all products successfully without parameters</t>
  </si>
  <si>
    <t>GET: /products</t>
  </si>
  <si>
    <t>Response status: 200 OK
Response body: Returns a list of products(default up to 20 items)</t>
  </si>
  <si>
    <t>TC_GetallPro_02</t>
  </si>
  <si>
    <t>[API][200][GET] - Verify get products successfully with valid "category"</t>
  </si>
  <si>
    <t>GET: /products?results=2</t>
  </si>
  <si>
    <t>Response status: 200 OK
Response body: Returns a list of maximum 2 products.</t>
  </si>
  <si>
    <t>TC_GetallPro_03</t>
  </si>
  <si>
    <t xml:space="preserve">[API][200][GET] - Verify get products successfully with minimum boundary value of "results"
</t>
  </si>
  <si>
    <t>GET: /products?results=1</t>
  </si>
  <si>
    <t>Response status: 200 OK
Response body: Returns a list of maximum 1 products.</t>
  </si>
  <si>
    <t>TC_GetallPro_04</t>
  </si>
  <si>
    <t>[API][200][GET] - Verify get products successfully with maximum boundary value of "results"</t>
  </si>
  <si>
    <t>GET: /products?results=20</t>
  </si>
  <si>
    <t>Response status: 200 OK
Response body: Returns a list of maximum 20 products.</t>
  </si>
  <si>
    <t>TC_GetallPro_05</t>
  </si>
  <si>
    <t>[API][200][GET] - Verify get products successfully with valid "results" limit</t>
  </si>
  <si>
    <t>GET: /products?available=true</t>
  </si>
  <si>
    <t>Response status: 200 OK
Response body: Returns a list of products where "inStock" is true.</t>
  </si>
  <si>
    <t>TC_GetallPro_06</t>
  </si>
  <si>
    <t>[API][200][GET] - Verify get products successfully with combined parameters</t>
  </si>
  <si>
    <t>GET: /products?category=coffee&amp;available=true</t>
  </si>
  <si>
    <t>TC_GetallPro_07</t>
  </si>
  <si>
    <t>[API][200][GET] - Verify get products successfully with combined valid "category" and "available" parameters</t>
  </si>
  <si>
    <t>Response status: 200 OK
Response body: Returns a list of products belonging to the 'coffee' category and where "inStock" is true.</t>
  </si>
  <si>
    <t>TC_GetallPro_08</t>
  </si>
  <si>
    <t>[API][200][GET] - Verify get products successfully with combined valid "category" and "results"</t>
  </si>
  <si>
    <t>GET: /products?category=coffee&amp;results=2</t>
  </si>
  <si>
    <t>Response status: 200 OK
Response body: Returns a list of maximum 2 products belonging to the 'coffee' category.</t>
  </si>
  <si>
    <t>TC_GetallPro_09</t>
  </si>
  <si>
    <t>[API][200][GET] - Verify get products successfully with combined valid "results" and "available"</t>
  </si>
  <si>
    <t>GET: /products?results=2&amp;available=true</t>
  </si>
  <si>
    <t>Response status: 200 OK
Response body: Returns a list of maximum 2 products where "inStock" is true.</t>
  </si>
  <si>
    <t>TC_GetallPro_10</t>
  </si>
  <si>
    <t>[API][200][GET] - Verify get products successfully with all valid parameters combined</t>
  </si>
  <si>
    <t>GET: /products?category=coffee&amp;results=2&amp;available=true</t>
  </si>
  <si>
    <t xml:space="preserve">Response status: 200 OK
Response body: Returns a list of maximum 2 products belonging to 'coffee' category and where "inStock" is true.
</t>
  </si>
  <si>
    <t>TC_GetallPro_11</t>
  </si>
  <si>
    <t>[API][400][GET] - Verify call API fails when "results" is below minimum boundary</t>
  </si>
  <si>
    <t>GET: /products?results=0</t>
  </si>
  <si>
    <t>Response status: 400 Bad Request. Beacuse Must be number between 1 and 20. By default, only 20 products will be displayed.</t>
  </si>
  <si>
    <t>TC_GetallPro_12</t>
  </si>
  <si>
    <t>[API][400][GET] - Verify call API fails with invalid data type for "results" parameter</t>
  </si>
  <si>
    <t>GET: /products?results=abc</t>
  </si>
  <si>
    <t>Response status: 200 OK
Response body: Returns a list of products</t>
  </si>
  <si>
    <t>Response status: 400 Bad Request because the parameter requires an integer type.</t>
  </si>
  <si>
    <t>TC_GetallPro_13</t>
  </si>
  <si>
    <t>[API][200][GET] - Verify get products successfully with "available" parameter set to false</t>
  </si>
  <si>
    <t>GET: /products?available=false</t>
  </si>
  <si>
    <t>Response status: 200 OK
Response body: Returns products where "inStock" is false (Out of stock items).</t>
  </si>
  <si>
    <t>TC_GetallPro_14</t>
  </si>
  <si>
    <t>[API][400][GET] - Verify call API fails with invalid data type for "available" parameter</t>
  </si>
  <si>
    <t>GET: /products?available=yes</t>
  </si>
  <si>
    <t xml:space="preserve">Response status: 400 
Response content: 
{
    "error": "Invalid value for query parameter 'available'. Must be one of: true, false"
}
</t>
  </si>
  <si>
    <t>category</t>
  </si>
  <si>
    <t>TC_GetallPro_15</t>
  </si>
  <si>
    <t xml:space="preserve">[API][400][GET] - [API][404][GET] - Verify API call was unsuccessful with float/decimal productId
</t>
  </si>
  <si>
    <t>GET: /products/0.36</t>
  </si>
  <si>
    <t>Response status: 400 
Response content: 
{
    "error": "No product with id 0."
}</t>
  </si>
  <si>
    <t>TC_GetallPro_16</t>
  </si>
  <si>
    <t xml:space="preserve">[API][400][GET] - Verify get products fails with invalid "category"
</t>
  </si>
  <si>
    <t>GET: /products?category=lap</t>
  </si>
  <si>
    <t xml:space="preserve">Response status: 400 
Response content: 
{
    "error": "Invalid value for query parameter 'category'. Must be one of: coffee, fresh-produce, meat-seafood, candy, dairy, bread-bakery, eggs"
}
</t>
  </si>
  <si>
    <t>TC_GetallPro_17</t>
  </si>
  <si>
    <t>[API][400][GET] - Verify get products fails with out-of-range "results"</t>
  </si>
  <si>
    <t>GET: /products?results=25</t>
  </si>
  <si>
    <t>Response status: 400 
Response content: 
{
    "error": "Invalid value for query parameter 'results'. Cannot be greater than 20."
}</t>
  </si>
  <si>
    <t>TC_GetallPro_18</t>
  </si>
  <si>
    <t>[API][404][GET] - Verify call API fails with invalid API path</t>
  </si>
  <si>
    <t>GET: /product</t>
  </si>
  <si>
    <t>Response status: 404
Response content: 
{
    "error": "The resource could not be found. Check your endpoint and request method."
}</t>
  </si>
  <si>
    <t>TC_GetallPro_19</t>
  </si>
  <si>
    <t>[API][404][POST] - Verify call API fails due to invalid HTTP method</t>
  </si>
  <si>
    <t>POST: /products</t>
  </si>
  <si>
    <t>TC_GetallPro_20</t>
  </si>
  <si>
    <t>[API][404][PUT] - Verify call API fails due to invalid HTTP method</t>
  </si>
  <si>
    <t>PUT: /products</t>
  </si>
  <si>
    <t>TC_GetallPro_21</t>
  </si>
  <si>
    <t>[API][404][PATCH] - Verify call API fails due to invalid HTTP method</t>
  </si>
  <si>
    <t>PATCH: /products</t>
  </si>
  <si>
    <t>TC_GetallPro_22</t>
  </si>
  <si>
    <t>[API][404][PELETE] - Verify call API fails due to invalid HTTP method</t>
  </si>
  <si>
    <t>DELETE: /products</t>
  </si>
  <si>
    <t xml:space="preserve">Additional test cases </t>
  </si>
  <si>
    <t>results</t>
  </si>
  <si>
    <t>available</t>
  </si>
  <si>
    <t>n/a</t>
  </si>
  <si>
    <t>R</t>
  </si>
  <si>
    <t>TC_GetaPro_01</t>
  </si>
  <si>
    <t>[API][200][GET] - Verify get a single product successfully with a valid productId</t>
  </si>
  <si>
    <t>1. API URL is active
2. Postman works well
3. Product ID exists in the system</t>
  </si>
  <si>
    <t>GET: /products/4643</t>
  </si>
  <si>
    <t>Response status: 200 OK
Response body: Returns a single product from the inventory.</t>
  </si>
  <si>
    <t>Pass</t>
  </si>
  <si>
    <t>TC_GetaPro_02</t>
  </si>
  <si>
    <t>[API][200][GET] - Verify get product label successfully with "product-label=true"</t>
  </si>
  <si>
    <t>GET: /products/4643?product-label=true</t>
  </si>
  <si>
    <t>Response status: 200 OK
Response body: Returns the product label in PDF format.</t>
  </si>
  <si>
    <t>TC_GetaPro_03</t>
  </si>
  <si>
    <t>[API][200][GET] - Verify get product successfully with "product-label=false"</t>
  </si>
  <si>
    <t>Response status: 200 OK
Response body: Returns the normal JSON details of product 4643.</t>
  </si>
  <si>
    <t>TC_GetaPro_04</t>
  </si>
  <si>
    <t>[API][200][GET] - Verify API call was successful when missing productId path parameter</t>
  </si>
  <si>
    <t>1. API URL is active
2. Postman works well
3. Product ID exists</t>
  </si>
  <si>
    <t>Response status: 200 OK.
The system returns the entire list of products.</t>
  </si>
  <si>
    <t>TC_GetaPro_05</t>
  </si>
  <si>
    <t>Response status: 404
Response content: 
{
    "error": "The resource could not be found. Check your endpoint and request method."
}</t>
  </si>
  <si>
    <t>TC_GetaPro_06</t>
  </si>
  <si>
    <t>[API][404][GET] - Verify call API fails with a non-existent productId</t>
  </si>
  <si>
    <t xml:space="preserve">1. API URL is active
2. Postman works well
</t>
  </si>
  <si>
    <t>GET: /products/8888</t>
  </si>
  <si>
    <t xml:space="preserve">Response status: 404
Response content: 
{
    "error": "No product with id 8888."
}
</t>
  </si>
  <si>
    <t>TC_GetaPro_07</t>
  </si>
  <si>
    <t>[API][400][GET] - Verify call API fails with invalid data type for productId</t>
  </si>
  <si>
    <t>GET: /products/abc</t>
  </si>
  <si>
    <t>Response status: 404
Response content: 
{
    "error": "The product id must be a number."
}</t>
  </si>
  <si>
    <t>TC_GetaPro_08</t>
  </si>
  <si>
    <t>API][400][GET] - Verify call API fails with invalid data type for "product-label"</t>
  </si>
  <si>
    <t>GET: /products/4643?product-label=yes</t>
  </si>
  <si>
    <t>Response status: 400
Response content: 
{
    "error": "Invalid value for query parameter 'product-label'. Must be one of: true, false"
}</t>
  </si>
  <si>
    <t>TC_GetaPro_09</t>
  </si>
  <si>
    <t>[API][404][GET] - Verify API call was unsuccessful with negative or zero productId</t>
  </si>
  <si>
    <t>GET: /products/0</t>
  </si>
  <si>
    <t>Response status: 404
Response content: 
{
    "error": "No product with id 0."
}</t>
  </si>
  <si>
    <t>TC_GetaPro_10</t>
  </si>
  <si>
    <t xml:space="preserve">[API][404][GET] - Verify API call was unsuccessful with float/decimal productId
</t>
  </si>
  <si>
    <t>Response status: 404
Response content: 
{
    "error": "No product with id 0."
}</t>
  </si>
  <si>
    <t>Fault</t>
  </si>
  <si>
    <t>Response status: 400 Bad Request.
The system is reporting an error because of a special character.</t>
  </si>
  <si>
    <t>TC_GetaPro_11</t>
  </si>
  <si>
    <t>[API][400][GET] - Verify API call was unsuccessful special characters in productId</t>
  </si>
  <si>
    <t>GET: /products/4643*</t>
  </si>
  <si>
    <t>Response status: 200k
Response body: Returns a single product from the inventory.</t>
  </si>
  <si>
    <t>TC_GetaPro_12</t>
  </si>
  <si>
    <t>[API][404][GET] - Verify API behavior with empty "product-label" query parameter</t>
  </si>
  <si>
    <t>GET/products/4643?product-label=</t>
  </si>
  <si>
    <t>Response status: 404
Response content: 
{
    "error": "The resource could not be found. Check your endpoint and request method."
}</t>
  </si>
  <si>
    <t>pass</t>
  </si>
  <si>
    <t>TC_GetaPro_13</t>
  </si>
  <si>
    <t>[API][404/500][GET] - Verify API behavior with extremely large productId</t>
  </si>
  <si>
    <t>GET/products/888888888888888888888888</t>
  </si>
  <si>
    <t>TC_GetaPro_14</t>
  </si>
  <si>
    <t>PUT/products/</t>
  </si>
  <si>
    <t>TC_GetaPro_15</t>
  </si>
  <si>
    <t>POST/products/</t>
  </si>
  <si>
    <t>TC_GetaPro_16</t>
  </si>
  <si>
    <t>PATCH/products/</t>
  </si>
  <si>
    <t>TC_GetaPro_17</t>
  </si>
  <si>
    <t>[API][404][DELETE] - Verify call API fails due to invalid HTTP method</t>
  </si>
  <si>
    <t>DELETE/products/</t>
  </si>
  <si>
    <t>TC_CREAODER_01</t>
  </si>
  <si>
    <t>[API][201][POST]-Veryfy create order successfully with required fileds</t>
  </si>
  <si>
    <t>1.Valid bearer Token
2. API URL is active
3. Postman works well
4. Cartld valid</t>
  </si>
  <si>
    <t>Header: Authorization: Bearer&lt;token&gt;
POST/orders
body(JSON):
{
    "cartId": "WXJ3to8DlUL5bshTC87ak",
    "customerName": "Duyen duyen"
}</t>
  </si>
  <si>
    <t>Response status: 201 OK
Response body: Returns orderid.</t>
  </si>
  <si>
    <t>TC_CREAODER_01.mp4</t>
  </si>
  <si>
    <t>TC_CREAODER_02</t>
  </si>
  <si>
    <t>[API][201][POST]-Verify create order successfully with all fields including "comment"</t>
  </si>
  <si>
    <t>1.Valid bearer Token
2. API URL is active
3. Postman works well
4. The cartld has items</t>
  </si>
  <si>
    <t>Header: Authorization: Bearer&lt;token&gt;
POST/orders
body(JSON):
{
    "cartId": "w_EtAjCKfxH40BlldNsKh",
    "customerName": "John Doe",
    "comment":"giao hang"
}</t>
  </si>
  <si>
    <t>Response status: 201 OK
Response body: The order is successfully created when both the comment anh option firlds are filled in</t>
  </si>
  <si>
    <t>TC_CREAODER_02.mp4</t>
  </si>
  <si>
    <t>TC_CREAODER_03</t>
  </si>
  <si>
    <t>[API][400][POST]-Verify create order unsuccessfully with missing "carid"</t>
  </si>
  <si>
    <t>1.Valid bearer Token
2. API URL is active
3. Postman works well
4.A newly created carid with no items</t>
  </si>
  <si>
    <t>Header: Authorization: Bearer&lt;token&gt;
POST/orders
body(JSON):
{
    "cartId": "",
    "customerName": "duyen",
    "comment":"giao hang"
}</t>
  </si>
  <si>
    <t>Response status: 400
Response body: 
{
    "error": "Invalid or missing cartId."
}</t>
  </si>
  <si>
    <t>TC_CREAODER_03.mp4</t>
  </si>
  <si>
    <t>TC_CREAODER_04</t>
  </si>
  <si>
    <t>[API][400][POST]-Verify create order unsuccessfully with missing "customerName"</t>
  </si>
  <si>
    <t>1.Valid bearer Token
2. API URL is active
3. Postman works well
4.Valid carid with items inside</t>
  </si>
  <si>
    <t>Header: Authorization: Bearer&lt;token&gt;
POST/orders
body(JSON):
{
    "cartId": "w_EtAjCKfxH40BlldNsKh",
    "customerName": "",
    "comment":"giao hang"
}</t>
  </si>
  <si>
    <t>Response status: 400
Response body: 
{
    "error": "Invalid or missing customer name."
}</t>
  </si>
  <si>
    <t>TC_CREAODER_04.mp4</t>
  </si>
  <si>
    <t>TC_CREAODER_05</t>
  </si>
  <si>
    <t>[API][401][POST]-Verify create order unsuccessfully  with invalid authorization token</t>
  </si>
  <si>
    <t>1. API URL is active
2. Postman works well
3.Valid carid items inside</t>
  </si>
  <si>
    <t>Header: Authorization: Bearer&lt;abc23&gt;
POST/orders
body(JSON):
{
    "cartId": "w_EtAjCKfxH40BlldNsKh",
    "customerName": "duyennn",
    "comment":"giao hang"
}</t>
  </si>
  <si>
    <t>Response status: 401 
Response body: {
    "error": "Invalid bearer token."
}</t>
  </si>
  <si>
    <t>TC_CREAODER_05.mp4</t>
  </si>
  <si>
    <t>TC_CREAODER_06</t>
  </si>
  <si>
    <t>[API][401][POST]-Verify create order unsuccessfully  with Authorization header is empty</t>
  </si>
  <si>
    <t>Header: Authorization: empty
POST/orders
body(JSON):
{
    "cartId": "w_EtAjCKfxH40BlldNsKh",
    "customerName": "duyennn",
    "comment":"giao hang"
}</t>
  </si>
  <si>
    <t>Response status: 401
Response body:
{
    "error": "Missing Authorization header."
}</t>
  </si>
  <si>
    <t>TC_CREAODER_06.mp4</t>
  </si>
  <si>
    <t>TC_CREAODER_07</t>
  </si>
  <si>
    <t>[API][400][POST] - Verify create order unsuccessfully with non-existent "cartId"</t>
  </si>
  <si>
    <t xml:space="preserve">1.Valid bearer Token
2. API URL is active
3. Postman works well
</t>
  </si>
  <si>
    <t>Header: Authorization: Bearer &lt;token&gt;
POST /orders
body (JSON):
{"cartId": "OUgvkL-QKQL12MhKXef2X", "customerName": "John", "comment": "test"}</t>
  </si>
  <si>
    <t>Response status: 400 
Response body: 
{
    "error": "Invalid or missing cartId."
}</t>
  </si>
  <si>
    <t>TC_CREAODER_07.mp4</t>
  </si>
  <si>
    <t>TC_CREAODER_08</t>
  </si>
  <si>
    <t>[API][400] - Verify failure with a cartId that has already been ordered</t>
  </si>
  <si>
    <t>1.Valid bearer Token
2. API URL is active
3. Postman works well
4. Cart is now deleted.</t>
  </si>
  <si>
    <t xml:space="preserve">
POST /orders
Body (JSON):
{ "cartId"OUgvkL-QKQL12MhKXef2X", "customerName": "Duyen" }</t>
  </si>
  <si>
    <t>Status: 400 
Respomse body: 
{
    "error": "Invalid or missing cartId."
}</t>
  </si>
  <si>
    <t>TC_CREAODER_08.mp4</t>
  </si>
  <si>
    <t>TC_CREAODER_09</t>
  </si>
  <si>
    <t xml:space="preserve">API][400] - Verify Verify API call was unsuccessful  when Request Body is empty
</t>
  </si>
  <si>
    <t xml:space="preserve">
1. API URL is active
2. Postman works well
3. Valid Token</t>
  </si>
  <si>
    <t xml:space="preserve">
POST /orders
Body (JSON):
{ "cartId"OUgvkL-QKQL12MhKXef2X", "customerName": "Duyen" 
}</t>
  </si>
  <si>
    <t>Status: 400 
Respomse body: 
{
    "error": "Invalid or missing cartId."
}</t>
  </si>
  <si>
    <t>TC_CREAODER_09.mp4</t>
  </si>
  <si>
    <t>TC_CREAODER_10</t>
  </si>
  <si>
    <t>[API][400] -  Verify API call was unsuccessful with invalid data type for customerName (number)</t>
  </si>
  <si>
    <t xml:space="preserve">
1. API URL is active
2. Postman works well
3. Valid Token
4.Valid cartID</t>
  </si>
  <si>
    <t xml:space="preserve">
POST /orders
Body (JSON):
{
    "cartId": "ePh12vNF5VLS7vMJDfILl",
    "customerName": "2345John Doe",
    "comment":"Good"
}</t>
  </si>
  <si>
    <t>Status: 201 OK
Respomse body: 
{
    "created": true,
    "orderId": "ZeOXbqhqYy3m5ix8re1_M"
}</t>
  </si>
  <si>
    <t>TC_CREAODER_10.mp4</t>
  </si>
  <si>
    <t>Response status: 400 Bad Request. BeacuseSystem error, names cannot be in numerical format.</t>
  </si>
  <si>
    <t>TC_CREAODER_11</t>
  </si>
  <si>
    <t>[API][400] - Verify API call was unsuccessful with malformed JSON syntax</t>
  </si>
  <si>
    <t xml:space="preserve">
1. API URL is active
2. Postman works well
3. Valid Token
</t>
  </si>
  <si>
    <t xml:space="preserve">
POST /orders
Body:
{
    "cartId": "ePh12vNF5VLS7vMJDfILl",
    "customerName": "2345John Doe",
    "comment":"Good"
}</t>
  </si>
  <si>
    <t>Status: 400 OK
Respomse body: 
{
    "error": "Content-Type must be application/json"
}</t>
  </si>
  <si>
    <t>TC_CREAODER_11.mp4</t>
  </si>
  <si>
    <t>TC_CREAODER_13</t>
  </si>
  <si>
    <t>[API][404] - Verify API call was unsuccessful with failure when sending request to an incorrect endpoint URL</t>
  </si>
  <si>
    <t xml:space="preserve">
POST /order
Body:
{
    "cartId": "ePh12vNF5VLS7vMJDfILl",
    "customerName": "2345John Doe",
    "comment":"Good"
}</t>
  </si>
  <si>
    <t>Status: 404 
Respomse body: 
{
    "error": "The resource could not be found. Check your endpoint and request method."
}</t>
  </si>
  <si>
    <t>TC_CREAODER_12.mp4</t>
  </si>
  <si>
    <t xml:space="preserve">
PUT /orders
Body:
{
    "cartId": "ePh12vNF5VLS7vMJDfILl",
    "customerName": "2345John Doe",
    "comment":"Good"
}</t>
  </si>
  <si>
    <t>TC_CREAODER_13.mp4</t>
  </si>
  <si>
    <t>TC_CREAODER_14</t>
  </si>
  <si>
    <t>[API][404][GET] - Verify call API fails due to invalid HTTP method</t>
  </si>
  <si>
    <t xml:space="preserve">
GET /orders
Body:
{
    "cartId": "ePh12vNF5VLS7vMJDfILl",
    "customerName": "2345John Doe",
    "comment":"Good"
}</t>
  </si>
  <si>
    <t>TC_CREAODER_14.mp4</t>
  </si>
  <si>
    <t>TC_CREAODER_15</t>
  </si>
  <si>
    <t xml:space="preserve">
PATCH/orders
Body:
{
    "cartId": "ePh12vNF5VLS7vMJDfILl",
    "customerName": "2345John Doe",
    "comment":"Good"
}</t>
  </si>
  <si>
    <t>TC_CREAODER_15.mp4</t>
  </si>
  <si>
    <t>TC_CREAODER_16</t>
  </si>
  <si>
    <t xml:space="preserve">
DELETE /orders
Body:
{
    "cartId": "ePh12vNF5VLS7vMJDfILl",
    "customerName": "2345John Doe",
    "comment":"Good"
}</t>
  </si>
  <si>
    <t>TC_CREAODER_16.mp4</t>
  </si>
  <si>
    <t>TC_CREAODER_17</t>
  </si>
  <si>
    <t>[API][400] - Verify failure when customerName exceeds maximum length</t>
  </si>
  <si>
    <t xml:space="preserve">
GET /orders
Body:
{
    "cartId": "ePh12vNF5VLS7vMJDfILl",
    "customerName": "AAAAAAAAAAAAAAAAAAAAAAAAAAAAAAAAAAAAAAAAAAAAAAAAAAAAAAAAAAAAAAAAAAAAAAAAAAAAAAAAAAAAAAAAAAAAAAAAAAAAAAAAAAAAAAAAAAAAAAAAAAAAAAAAAAAAAAAAAAAAAAAAAAAAAAAAAAAAAAAAAAAAAAAAAAAAAAAAAAAAAAAAAAAAAAAAAAAAAAAAAAAAAAAAAAAAAAAAAAAAAAAAAAAAAAAAAAAAAAAAAAAAAAAAAAAAAAA",
    "comment":"Good"
}</t>
  </si>
  <si>
    <t>Status: 201 OK
Respomse body: 
{
    "created": true,
    "orderId": "tFmGbDFOvJt_QWeN4i4Cn"
}</t>
  </si>
  <si>
    <t>TC_CREAODER_17.mp4</t>
  </si>
  <si>
    <t>if the system allows customer names to be 255 characters or longer.</t>
  </si>
  <si>
    <t>TC_CREAODER_18</t>
  </si>
  <si>
    <t>[API][201] - Verify API call was unsuccessful with special characters in comment</t>
  </si>
  <si>
    <t xml:space="preserve">
GET /orders
Body:
{
    "cartId": "ePh12vNF5VLS7vMJDfILl",
    "customerName": "2345John Doe",
    "comment":"Good@@@###"
}</t>
  </si>
  <si>
    <t>Status: 201 OK
Respomse body: 
{
    "created": true,
    "orderId": "uirPhH1l33WxVQKj33Qhi"
}</t>
  </si>
  <si>
    <t>TC_CREAODER_18.mp4</t>
  </si>
  <si>
    <t>The question is further: what would happen if the system allowed comments containing special characters?</t>
  </si>
  <si>
    <t>[API][200][POST]-Verify  create a new cart successfull with all fileds</t>
  </si>
  <si>
    <t xml:space="preserve">
POST/carts</t>
  </si>
  <si>
    <t>Response status: 200 OK
Response body: 
{
    "created": true,
    "cartId": "RnpF4ajxqBmhH3CplTIWn"
}</t>
  </si>
  <si>
    <t>[API][404][POST]-Verify create a new cart unsuccessfull with invalid fails API path</t>
  </si>
  <si>
    <t xml:space="preserve">
POST/cart</t>
  </si>
  <si>
    <t>[API][404][GET]-Verify create a new cart unsuccessfull when due to invalid method</t>
  </si>
  <si>
    <t>[API][404][PUT]-Verify create a new cart unsuccessfull when dur to invalid method</t>
  </si>
  <si>
    <t xml:space="preserve">
PUT/carts
</t>
  </si>
  <si>
    <t>[API][404][PATCH]-Verify create a new cart unsuccessfull when dur to invalid method</t>
  </si>
  <si>
    <t xml:space="preserve">
PATCH/carts
</t>
  </si>
  <si>
    <t>[API][404][DELETE]-Verify create a new cart unsuccessfull when dur to invalid method</t>
  </si>
  <si>
    <t xml:space="preserve">
DELETE/carts
</t>
  </si>
  <si>
    <t>TC_Additems_01</t>
  </si>
  <si>
    <t>[API][201][POST]-Verify add item successfully with all fields</t>
  </si>
  <si>
    <t xml:space="preserve">
POST/carts/N7R8T2Q_CSpV4lVVuFchE/items
body(JSON):
{
    "productid":4643
}</t>
  </si>
  <si>
    <t>Response status: 201 OK
Response body: Returns inclues item information</t>
  </si>
  <si>
    <t>TC_Additems_02</t>
  </si>
  <si>
    <t>[API][201][POST]-Verify add item successfully with specific quantity</t>
  </si>
  <si>
    <t xml:space="preserve">
POST/carts/N7R8T2Q_CSpV4lVVuFchE/items
body(JSON):
{
    "productid":4643,
quantity :2
}</t>
  </si>
  <si>
    <t>Response status: 201 OK
Response body: 
{
    "created": true,
    "itemId": 622197541
}</t>
  </si>
  <si>
    <t>TC_Additems_03</t>
  </si>
  <si>
    <t>[API][404][POST]-Verify add item to cart unsuccessfull with invalid fails API path</t>
  </si>
  <si>
    <t xml:space="preserve">
POST/cart/N7R8T2Q_CSpV4lVVuFchE/items
body(JSON):
{
    "productid":4643,
quantity :2
}</t>
  </si>
  <si>
    <t>TC_Additems_04</t>
  </si>
  <si>
    <t>[API][404][POST]-Verify add item unsuccessfully when a  cart has not been created beforehand</t>
  </si>
  <si>
    <t xml:space="preserve">Response status: 404
Response body:
{
    "error": "The resource could not be found. Check your endpoint and request method."
}
</t>
  </si>
  <si>
    <t>TC_Additems_05</t>
  </si>
  <si>
    <t>[API][400][POST]-Verify add items to cart unsuccessfull  when missing productld</t>
  </si>
  <si>
    <t xml:space="preserve">
POST/carts/N7R8T2Q_CSpV4lVVuFchE/items
body(JSON):
{
}</t>
  </si>
  <si>
    <t>Response status: 400
{
    "error": "Invalid or missing productId."
}</t>
  </si>
  <si>
    <t>TC_Additems_06</t>
  </si>
  <si>
    <t>[API][404][POST]-Verify add items to cart  unsuccessfull when invalid cartld</t>
  </si>
  <si>
    <t xml:space="preserve">
POST/carts/7R8T2Q_CSpV4lVVuFchE/items
body(JSON):
{
    "productid":4643
}</t>
  </si>
  <si>
    <t xml:space="preserve">Response status: 404
Response body:
{
    "error": "No cart with id {{ invalid cardID}}."
}
</t>
  </si>
  <si>
    <t>TC_Additems_07</t>
  </si>
  <si>
    <t xml:space="preserve">[API][400][POST]-Verify add items to cart  unsuccessfull when quantity has invalid data sype(String) </t>
  </si>
  <si>
    <t xml:space="preserve">
POST/carts/7R8T2Q_CSpV4lVVuFchE/items
body(JSON):
{
    "productid":3434
   "quantity" :abcdd
}</t>
  </si>
  <si>
    <t xml:space="preserve">Response status: 400
Response body:
{
    "error": "The request body could not be parsed."
}
</t>
  </si>
  <si>
    <t>TC_Additems_08</t>
  </si>
  <si>
    <t>[API][400][POST]-Verify add items to cart  unsuccessfull when quantity is a negative number</t>
  </si>
  <si>
    <t xml:space="preserve">
POST/carts/7R8T2Q_CSpV4lVVuFchE/items
body(JSON):
{
    "productid":3434
   "quantity" :-2
}</t>
  </si>
  <si>
    <t xml:space="preserve">Response status: 201 OK
Response body:
{
    "created": true,
    "itemId": 312662646
}
</t>
  </si>
  <si>
    <t>Expected behavior: The system should validate the input and return a 400 Bad Request error because the item quantity cannot be less than 1.</t>
  </si>
  <si>
    <t>TC_Additems_09</t>
  </si>
  <si>
    <t>[API][400][POST]-Verify add items to cart  unsuccessfull when productid has invalid data sype(String)</t>
  </si>
  <si>
    <t xml:space="preserve">
POST/carts/7R8T2Q_CSpV4lVVuFchE/items
body(JSON):
{
    "productid":"2222"
   "quantity" :2
}</t>
  </si>
  <si>
    <t xml:space="preserve">Response status: 400
Response body:
{
    "error": "Invalid or missing productId."
}
</t>
  </si>
  <si>
    <t>TC_Additems_10</t>
  </si>
  <si>
    <t>[API][400][POST] - Verify add item to cart unsuccessfully with malformed JSON body</t>
  </si>
  <si>
    <t xml:space="preserve">
POST/carts/7R8T2Q_CSpV4lVVuFchE/items
body(JSON):
{
    "productid":2222,
   "quantity" :2
</t>
  </si>
  <si>
    <t>TC_Additems_11</t>
  </si>
  <si>
    <t>[API][400][POST] - Verify add item unsuccessfully when requested quantity exceeds current stock</t>
  </si>
  <si>
    <t xml:space="preserve">
POST/carts/7R8T2Q_CSpV4lVVuFchE/items
body(JSON):
{
    "productid":2222,
   "quantity" :2444444444444444444
</t>
  </si>
  <si>
    <t xml:space="preserve">Response status: 400
Response body:
{
    "error": "The quantity requested exceeds the current stock."
}
</t>
  </si>
  <si>
    <t>The API correctly validates the stock limit and returns a 400 Bad Request with the message: "The quantity requested exceeds the current stock". However, this behavior and error message are missing from the current API documentation. Please update the docs to reflect this business rule.</t>
  </si>
  <si>
    <t>TC_Additems_12</t>
  </si>
  <si>
    <t xml:space="preserve">[API][400][POST] - Verify add item unsuccessfully with invalid Content-Type </t>
  </si>
  <si>
    <t xml:space="preserve">
POST/carts/7R8T2Q_CSpV4lVVuFchE/items
body(Text):
{
    "productid":2222,
   "quantity" :2
}
</t>
  </si>
  <si>
    <t xml:space="preserve">Response status: 400
Response body:
{
    "error": "Content-Type must be application/json"
}
</t>
  </si>
  <si>
    <t>TC_Additems_13</t>
  </si>
  <si>
    <t>[API][400][POST]-Verify add items unsuccessfull when invalid cartld</t>
  </si>
  <si>
    <t xml:space="preserve">
POST/carts/N7R8T2Q_CSpV4lVVuFchE/items
body(JSON):
{
    "productid":111
}</t>
  </si>
  <si>
    <t>TC_Additems_14</t>
  </si>
  <si>
    <t>[API][400][POST]-Verify add items unsuccessfull when proct is out of stock</t>
  </si>
  <si>
    <t xml:space="preserve">Response status: 400
Response body:
{
    "error": "This product is not in stock and cannot be ordered."
}
</t>
  </si>
  <si>
    <t>TC_Additems_15</t>
  </si>
  <si>
    <t>[API][400][POST]-Verify add items unsuccessfull when product has been add before</t>
  </si>
  <si>
    <t>Response status: 400
Response body:
{
    "error": "This product has already been added to cart."
}</t>
  </si>
  <si>
    <t>TC_Additems_16</t>
  </si>
  <si>
    <t>[API][404][POST]-Verify add items unsuccessfull when has not been a cart created beforehand</t>
  </si>
  <si>
    <t xml:space="preserve">
POST/carts/{{cartId}}/items
body(JSON):
{
    "productid":111
}</t>
  </si>
  <si>
    <t>Response status: 404
Response body:
{
    "error": "No cart with id %7B%7BcartId%7D%7D."
}</t>
  </si>
  <si>
    <t>TC_Additems_17</t>
  </si>
  <si>
    <t>[API][404][DELETE]-Verify add an item to cart unsuccessfull when dur to invalid method</t>
  </si>
  <si>
    <t xml:space="preserve">
DELETE/carts/N7R8T2Q_CSpV4lVVuFchE/items
body(JSON):
{
    "productid":111
}</t>
  </si>
  <si>
    <t>TC_Additems_18</t>
  </si>
  <si>
    <t>[API][404][PUT]-Verify add an item to cart unsuccessfull when dur to invalid method</t>
  </si>
  <si>
    <t xml:space="preserve">
PUT/carts/N7R8T2Q_CSpV4lVVuFchE/items
body(JSON):
{
    "productid":111
}</t>
  </si>
  <si>
    <t>TC_Additems_19</t>
  </si>
  <si>
    <t>[API][404][PATCH]-Verify add an item to cart unsuccessfull when dur to invalid method</t>
  </si>
  <si>
    <t xml:space="preserve">
PATCH/carts/N7R8T2Q_CSpV4lVVuFchE/items
body(JSON):
{
    "productid":111
}</t>
  </si>
  <si>
    <t>TC_Additems_20</t>
  </si>
  <si>
    <t>[API][404[GET]-Verify add an item to cart unsuccessfull when dur to invalid method</t>
  </si>
  <si>
    <t xml:space="preserve">
GET/carts/N7R8T2Q_CSpV4lVVuFchE/items
body(JSON):
{
    "productid":111
}</t>
  </si>
  <si>
    <t xml:space="preserve">Cart </t>
  </si>
  <si>
    <t>https://tutorialsninja.com/demo/index.php?route=product/product&amp;path=57&amp;product_id=49</t>
  </si>
  <si>
    <t>Add to cart</t>
  </si>
  <si>
    <t>TC_Cart_01</t>
  </si>
  <si>
    <t>[API][200][POST] - Verify successfully  add product to cart with valid data</t>
  </si>
  <si>
    <t>1. API URL is active.
2. Product 43 exists in DB.</t>
  </si>
  <si>
    <t>POST/ route=checkout/cart/add
Body :(form-data)
product_id: 43
quantity: 1</t>
  </si>
  <si>
    <t xml:space="preserve">Status: 200 OK
The response :success
Success: You have added &lt;a href="https://tutorialsninja.com/demo/index.php?route=product/product&amp;amp;product_id=43"&gt;MacBook&lt;/a&gt; to your &lt;a href="https://tutorialsninja.com/demo/index.php?route=checkout/cart"&gt;shopping cart&lt;/a&gt;!
total	:1 item(s) - $602.00
</t>
  </si>
  <si>
    <t>TC_Cart_02</t>
  </si>
  <si>
    <t>[API][200][POST] - Verify  successfully add product to cart with empty quantity</t>
  </si>
  <si>
    <t xml:space="preserve">1. API URL is active.
</t>
  </si>
  <si>
    <t>POST/ route=checkout/cart/add
Body :(form-data)
product_id: 43
quantity: empty</t>
  </si>
  <si>
    <t>TC_Cart_03</t>
  </si>
  <si>
    <t>[API][200][POST] - Verify unsuccessfully  add product to cart with INVALID Quantity (Alphabetic Characters)</t>
  </si>
  <si>
    <t xml:space="preserve">1. API URL is active.
</t>
  </si>
  <si>
    <t>POST/ route=checkout/cart/add
Body :(form-data)
product_id: 43
quantity: abc</t>
  </si>
  <si>
    <t>Status: 200 OK
Expected Result: System should reject the input and return an error</t>
  </si>
  <si>
    <t>Ideally it should return 400 Bad Request for invalid data type. The API auto-defaults to 1 and returns 200 OK instead</t>
  </si>
  <si>
    <t>TC_Cart_04</t>
  </si>
  <si>
    <t>[API][200][POST] - Verify  unsuccessfully add product to cart with MISSING Body payload</t>
  </si>
  <si>
    <t>POST/ route=checkout/cart/add
Body :(form-data)
none</t>
  </si>
  <si>
    <t xml:space="preserve">Status: 200 OK
The response :The response returns an empty JSON array [].
</t>
  </si>
  <si>
    <t>Empty payload should trigger a 400 Bad Request, but Server still reports 200 OK with an empty array</t>
  </si>
  <si>
    <t>TC_Cart_05</t>
  </si>
  <si>
    <t>[API][200][POST] - Verify  unsuccessfully add a non-existent product</t>
  </si>
  <si>
    <t>POST/ route=checkout/cart/add
Body :(form-data)
product_id: 99999
quantity: 1</t>
  </si>
  <si>
    <t>Status: 200 OK
Expected Result: Addition is unsuccessful. System returns an empty JSON array []</t>
  </si>
  <si>
    <t>Calling a non-existent product ID should return 404 Not Found</t>
  </si>
  <si>
    <t>TC_Cart_06</t>
  </si>
  <si>
    <t>[API][200][POST] - Verify  unsuccessfully add product missing mandatory options</t>
  </si>
  <si>
    <t>1. API URL is active.
2. Product 42 (Apple Cinema) requires options.</t>
  </si>
  <si>
    <t>POST/ route=checkout/cart/add
Body :(form-data)
product_id: 99999
quantity: 1
Option :None</t>
  </si>
  <si>
    <t>Standard RESTful architecture should use 422 Unprocessable Entity</t>
  </si>
  <si>
    <t>View shopping cart</t>
  </si>
  <si>
    <t>TC_Cart_07</t>
  </si>
  <si>
    <t>[API][200][GET] - Verify successfully  View Shopping Cart details with items</t>
  </si>
  <si>
    <t>1. API URL is active.
2. Cart has at least 1 item.</t>
  </si>
  <si>
    <t>GET/ route=checkout/cart
Body: none</t>
  </si>
  <si>
    <t xml:space="preserve">Status: 200 OK
The response: Returns the HTML code of the Shopping Cart page. The page correctly displays the list of added products, quantities, and total prices.
</t>
  </si>
  <si>
    <t>TC_Cart_08</t>
  </si>
  <si>
    <t>[API][200][GET] - Verify  successfully View Shopping Cart details when empty</t>
  </si>
  <si>
    <t xml:space="preserve">1. API URL is active.
2. Cart is EMPTY </t>
  </si>
  <si>
    <t>GET /route=checkout/cart
Body: none</t>
  </si>
  <si>
    <t>Response: Returns HTML page containing the message text: "Your shopping cart is empty!" and a Continue button.</t>
  </si>
  <si>
    <t>TC_Cart_09</t>
  </si>
  <si>
    <t>[API][200][GET] - Verify successfully  View Mini Cart info (AJAX) with items</t>
  </si>
  <si>
    <t xml:space="preserve">1. API URL is active.
2.Cart has at least 1 item.
</t>
  </si>
  <si>
    <t>GET/ route=checkout/cart/infor
Body: none</t>
  </si>
  <si>
    <t>Status: 200 OK
The response:
Returns HTML snippet showing total items and prices to be displayed in the header dropdown</t>
  </si>
  <si>
    <t>TC_Cart_10</t>
  </si>
  <si>
    <t>[API][200][GET] - Verify  successfully View Mini Cart info (AJAX) when empty</t>
  </si>
  <si>
    <t xml:space="preserve">1. API URL is active.
2. Cart is empty.
</t>
  </si>
  <si>
    <t>Status: 200 OK
The Response: Returns an HTML snippet containing a simple text paragraph: "Your shopping cart is empty!" with no buttons.</t>
  </si>
  <si>
    <t>Update(Edit) product</t>
  </si>
  <si>
    <t>TC_Cart_11</t>
  </si>
  <si>
    <t>[API][200][POST] - Verify  successfully update product quantity in cart</t>
  </si>
  <si>
    <t>1. API URL  is active
2. Postman works well
3. Cart has at least 1 item.
4.The customer currently has a valid item code in their shopping cart..</t>
  </si>
  <si>
    <t>POST / route=checkout/cart/edit
Body (form-data):
quantity[337648]: 3</t>
  </si>
  <si>
    <t>Status: 200 OK
The response body Shopping Cart page. Inside the response/preview, the item quantity is shown as 3 and total price is recalculated.</t>
  </si>
  <si>
    <t>TC_Cart_12</t>
  </si>
  <si>
    <t>[API][200][POST] - Verify  successfully  update product quantity to ZERO</t>
  </si>
  <si>
    <t>POST / route=checkout/cart/edit
Body (form-data):
quantity[337648]: 0</t>
  </si>
  <si>
    <t>Status: 200 OK
The response:
The item is removed from the cart successfully. Total drops accordingly.</t>
  </si>
  <si>
    <t>MEDIUM</t>
  </si>
  <si>
    <t>TC_Cart_13</t>
  </si>
  <si>
    <t>[API][200][POST] - Verify  unsuccessfully update quantity invalid  item key</t>
  </si>
  <si>
    <t>POST / route=checkout/cart/edit
Body (form-data):
quantity[111111]: 3</t>
  </si>
  <si>
    <t>Status: 200 OK
Response Returns the HTML cart page. The actual cart content and total price remain unchanged. No error throws.</t>
  </si>
  <si>
    <t>Passing a fake Key should report 404 Not Found or 400. The system ignores it and returns 200 OK with the old cart</t>
  </si>
  <si>
    <t>TC_Cart_14</t>
  </si>
  <si>
    <t>[API][200][POST] - Verify unsuccessfully  update quantity with invalid  value(Negaticve)</t>
  </si>
  <si>
    <t>1. API URL is active.
2. Cart has at least 1 item.
3.Clinet uses the REAL item key</t>
  </si>
  <si>
    <t>POST / route=checkout/cart/edit
Body (form-data):
quantity[337684]: -1</t>
  </si>
  <si>
    <t>Status: 200 OK
Response The system displays a success message, but in reality, the product cannot be edited.</t>
  </si>
  <si>
    <t>TC_Cart_15</t>
  </si>
  <si>
    <t>[API][200][POST] - Verify unsuccessfully  update quantity with invalid  value(Text)</t>
  </si>
  <si>
    <t>POST / route=checkout/cart/edit
Body (form-data):
quantity[337684]: ABD</t>
  </si>
  <si>
    <t xml:space="preserve">(Intentionally entering letters into quantity field doesn't trigger 400 Bad Request; it casts to 0 and auto-removes the item). </t>
  </si>
  <si>
    <t>TC_Cart_16</t>
  </si>
  <si>
    <t>[API][200][POST] - Verify unsuccessfully  update quantity with decimal  value</t>
  </si>
  <si>
    <t>POST / route=checkout/cart/edit
Body (form-data):
quantity[337684]: 2.5</t>
  </si>
  <si>
    <t>TC_Cart_17</t>
  </si>
  <si>
    <t xml:space="preserve">[API][200][POST] - Verify unsuccessfully update quantity with  empty invalid  </t>
  </si>
  <si>
    <t>POST / route=checkout/cart/edit
Body (form-data):
quantity[337684]: empty</t>
  </si>
  <si>
    <t>TC_Cart_18</t>
  </si>
  <si>
    <t xml:space="preserve">[API][200][POST] - Verify unsuccessfully update quantity with  extremely lager number  </t>
  </si>
  <si>
    <t>POST / route=checkout/cart/edit
Body (form-data):
quantity[337684]: 9999999</t>
  </si>
  <si>
    <t>TC_Cart_19</t>
  </si>
  <si>
    <t>[API][200][POST] - Verify unsuccessfully update multiple items simultaneously</t>
  </si>
  <si>
    <t>1. API URL is active.
2. Cart has at least 2 item.
3.Clinet uses the REAL item key</t>
  </si>
  <si>
    <t>POST / route=checkout/cart/edit
Body (form-data):
quantity[337684]: 1
quantity[22673] :2</t>
  </si>
  <si>
    <t>Status: 200 OK
Response Only the second product's quantity was successfully updated.</t>
  </si>
  <si>
    <t>TC_Cart_20</t>
  </si>
  <si>
    <t>[API][POST] - Verify unsuccessfully  update quantity with whiltespace padding</t>
  </si>
  <si>
    <t xml:space="preserve">POST / route=checkout/cart/edit
Body (form-data):
quantity[337684]: "  3  "
</t>
  </si>
  <si>
    <t>Status: 200 OK
Response System gracefully trims the whitespace and updates the quantity to exactly 3.</t>
  </si>
  <si>
    <t>TC_Cart_21</t>
  </si>
  <si>
    <t>[API][POST] - Verify unsuccessfully update request with completely missing  payload</t>
  </si>
  <si>
    <t xml:space="preserve">POST / route=checkout/cart/edit
Body (form-data):
none
</t>
  </si>
  <si>
    <t>Status: 200 OK
Response System ignores the request. The cart content and total remain completely unchanged without any PHP errors.</t>
  </si>
  <si>
    <t>API lacks a mechanism to block empty requests. It should be 400 Bad Request</t>
  </si>
  <si>
    <t>Remove  cart</t>
  </si>
  <si>
    <t>TC_Cart_22</t>
  </si>
  <si>
    <t>[API][200][POST] - Verify  successfully remove an item   from the cart</t>
  </si>
  <si>
    <t>1. API URL is active.
2. Cart has 3 MacBooks.
3.Clinet uses the REAL item key.</t>
  </si>
  <si>
    <t>POST/ route=checkout/cart/remove
Body (form-data):
key: 337648</t>
  </si>
  <si>
    <t>Status: 200 OK
The response :Response returns JSON with success message. Total drops to 0 item(s) - $0.00.</t>
  </si>
  <si>
    <t>TC_Cart_23</t>
  </si>
  <si>
    <t>[API][200][POST] - Verify unsuccessfully  remove   item with INVALID key</t>
  </si>
  <si>
    <t>POST/ route=checkout/cart/remove
Body (form-data):
key: 337640000</t>
  </si>
  <si>
    <t>Status: 200 OK
Response  Returns JSON with "success" message BUT the actual cart content and total price remain unchanged.</t>
  </si>
  <si>
    <t>TC_Cart_24</t>
  </si>
  <si>
    <t>[API][200][POST] - Verify remove  unsuccessfully   item with INVALID key</t>
  </si>
  <si>
    <t>1. API URL is active.
2. Cart has 3 MacBooks.
.</t>
  </si>
  <si>
    <t>POST/ route=checkout/cart/remove
Body (form-data):
key: empty</t>
  </si>
  <si>
    <t>Status: 200 OK
Expected Result: Removal is unsuccessful. System gracefully ignores the empty request. Cart remains unchanged without crashing.</t>
  </si>
  <si>
    <t>Sending a delete command with an empty key still returns 200 OK instead of 400 Bad Request</t>
  </si>
  <si>
    <t>TC_Cart_25</t>
  </si>
  <si>
    <t>[API][200][POST] - Verify remove  unsuccessfully   item with special characters</t>
  </si>
  <si>
    <t xml:space="preserve">1. API URL is active.
2. Cart has 3 MacBooks.
</t>
  </si>
  <si>
    <t>POST/ route=checkout/cart/remove
Body (form-data):
key: #$%^^</t>
  </si>
  <si>
    <t>Status: 200 OK
Expected Result: Removal is unsuccessful. System safely handles the invalid data type</t>
  </si>
  <si>
    <t>Shipping</t>
  </si>
  <si>
    <t>TC_Cart_26</t>
  </si>
  <si>
    <t>[API][200][POST] - Verify successfully  get shipping quote with VALID data</t>
  </si>
  <si>
    <t>1. API URL is active.
2. Cart has items requiring shipping.</t>
  </si>
  <si>
    <t>POST/Params: route=extension/totalshipping/quote
Body (form-data):
country_id:222
zone_id :2352
 postcode:11</t>
  </si>
  <si>
    <t>Status: 200 OK
Response body 
System returns a JSON object containing available shipping methods</t>
  </si>
  <si>
    <t>When missing mandatory parameters, API returns success code 200 OK and embeds error text in JSON instead of using 400 Bad Request</t>
  </si>
  <si>
    <t>TC_Cart_27</t>
  </si>
  <si>
    <t xml:space="preserve">[API][200][POST] - Verify unsuccessfully  get shipping quote with Missing Postcode </t>
  </si>
  <si>
    <t>POST/route=extension/total/shipping/quote
Body (form-data):
country_id:222
zone_id :3523
 postcode:empty</t>
  </si>
  <si>
    <t>Status: 200 OK
Response body
    "postcode": "Postcode must be between 2 and 10 characters!"</t>
  </si>
  <si>
    <t>TC_Cart_28</t>
  </si>
  <si>
    <t>[API][200][POST] - Verify unsuccessfully get shipping quote with  Missing Zone/State</t>
  </si>
  <si>
    <t>POST/ route=extension/total/shipping/quote
Body (form-data):
country_id:222
zone_id :empty
 postcode:11</t>
  </si>
  <si>
    <t>Status: 200 OK
Response body
    "zone": "Please select a region / state!"</t>
  </si>
  <si>
    <t>TC_Cart_29</t>
  </si>
  <si>
    <t>[API][200][POST] - Verify unsuccessfully  get shipping quote with  Missing Country</t>
  </si>
  <si>
    <t>POST/Params: route=extension/total/shipping/quote
Body (form-data):
country_id:empty
zone_id :2523
 postcode:11</t>
  </si>
  <si>
    <t>Status: 200 OK
Response body 
"country": "Please select a country!"</t>
  </si>
  <si>
    <t>TC_Cart_30</t>
  </si>
  <si>
    <t>[API][200][POST] - Verify unsuccessfully  get shipping quote with  Missing Country &amp; Zone</t>
  </si>
  <si>
    <t>Params: route=extension/total/shipping/quote
Body (form-data):
country_id:empty
zone_id :empty
 postcode:11</t>
  </si>
  <si>
    <t>Status: 200 OK
Response body 
"country": "Please select a country!",
        "zone": "Please select a region / state!"</t>
  </si>
  <si>
    <t>TC_Cart_31</t>
  </si>
  <si>
    <t>[API][200][POST] - Verify unsuccessfully  get shipping quote with  Missing Country &amp; Postcode</t>
  </si>
  <si>
    <t>Params: route=extension/total/shipping/quote
Body (form-data):
country_id:empty
zone_id :2532
 postcode:empty</t>
  </si>
  <si>
    <t>Status: 200 OK
Response body 
"country": "Please select a country!",
"postcode": "Postcode must be between 2 and 10 characters!"</t>
  </si>
  <si>
    <t>TC_Cart_32</t>
  </si>
  <si>
    <t>[API][200][POST] - Verify unsuccessfully  get shipping quote with  Missing Zone &amp; Postcode</t>
  </si>
  <si>
    <t>Params: route=extension/total/shipping/quote
Body (form-data):
country_id:222
zone_id :empty
 postcode:empty</t>
  </si>
  <si>
    <t>Status: 200 OK
Response body 
 "zone": "Please select a region / state!",
        "postcode": "Postcode must be between 2 and 10 characters!"</t>
  </si>
  <si>
    <t>TC_Cart_33</t>
  </si>
  <si>
    <t>[API][200][POST] - Verify  unsuccessfully get shipping quote with all fields empty</t>
  </si>
  <si>
    <t>POST/arams: route=extension/totalshipping/quote
Body (form-data):
country_id:empty
zone_id :empty
 postcode:empty</t>
  </si>
  <si>
    <t>Status: 200 OK
Response body 
 "country": "Please select a country!",
        "zone": "Please select a region / state!"
    }</t>
  </si>
  <si>
    <t>Button Continue</t>
  </si>
  <si>
    <t>TC_Cart_34</t>
  </si>
  <si>
    <t>[API][200][GET] - Verify successfully  'Continue Shopping' redirection to Home</t>
  </si>
  <si>
    <t>1. API URL is active.
2. The user is currently on the shopping cart page.</t>
  </si>
  <si>
    <t xml:space="preserve">GET/Params: index.php?route=common/home
</t>
  </si>
  <si>
    <t>Status: 200 OK
Response returns the HTML of the Homepage. The page title should be "Your Store".</t>
  </si>
  <si>
    <t>TC_Cart_35</t>
  </si>
  <si>
    <t>[API][200][GET] - Verify successfully  'Continue Shopping' redirection to Category</t>
  </si>
  <si>
    <t xml:space="preserve">GET/Params: index.php?route=product/category&amp;path=20_27
</t>
  </si>
  <si>
    <t>Status: 200 OK
Response returns the HTML of the "Macs" category page. Breadcrumbs and Product list are displayed correctly.</t>
  </si>
  <si>
    <t>TC_Cart_36</t>
  </si>
  <si>
    <t>[API][200][GET] - Verify successfully  'Home' redirection from Shopping Cart</t>
  </si>
  <si>
    <t>Status: 200 OK
Response returns the HTML of the Homepage</t>
  </si>
  <si>
    <t>TC_Cart_37</t>
  </si>
  <si>
    <t>[API][200][GET] - Verify successfully  'Checkout' redirection with items in cart</t>
  </si>
  <si>
    <t xml:space="preserve">
GET /Params: route=checkout/checkout
Body: none</t>
  </si>
  <si>
    <t>Status: 200 OK
Expected Result: Response returns the HTML code of the Checkout page. User is successfully redirected to begin the payment process.</t>
  </si>
  <si>
    <t>Voucher (Gift Certificaticate)</t>
  </si>
  <si>
    <t>[API][200][POST] - Verify successfully  Apply a valid voucher codee</t>
  </si>
  <si>
    <t>1. API URL is active.
2. Cart has items.</t>
  </si>
  <si>
    <t>POST/Params: index.php?route=extension/total/voucher/voucher
voucher :[voucher invalid]</t>
  </si>
  <si>
    <t>Status: 200 OK
JSON "success". The total payment for the shopping cart is reduced by the corresponding voucher amount.</t>
  </si>
  <si>
    <t>TC_Cart_38</t>
  </si>
  <si>
    <t>[API][200][POST] - Verify unsuccessfully  Apply an EMPTY voucher code</t>
  </si>
  <si>
    <t>POST/Params: index.php?route=extension/total/voucher/voucher
Body(form-data):
voucher: empty</t>
  </si>
  <si>
    <t>Status: 200 OK
JSON "error": "Warning: Please enter a voucher code!"</t>
  </si>
  <si>
    <t>Entering invalid/empty voucher codes should throw 400</t>
  </si>
  <si>
    <t>TC_Cart_39</t>
  </si>
  <si>
    <t>[API][200][POST] - Verify  unsuccessfully Apply an invalid/user voucher code</t>
  </si>
  <si>
    <t>POST/Params: index.php?route=extension/total/voucher/voucher
Body(form-data):
voucher: WRONGCODE123</t>
  </si>
  <si>
    <t>Status: 200 OK
JSON  "error": "Warning: Gift Voucher is either invalid or the balance has been used up!"</t>
  </si>
  <si>
    <t>TC_Cart_40</t>
  </si>
  <si>
    <t xml:space="preserve">[API][200][POST] - Verify  unsuccessfully apply a voucher when cart is empty </t>
  </si>
  <si>
    <t>1. API URL is active.
2. Cart  not items.</t>
  </si>
  <si>
    <t>POST/Params: route=extension/total/coupon/coupon
Body (form-data):
coupon: 123456</t>
  </si>
  <si>
    <t>Status: 200 OK
The response:
System should return an error stating no items are in cart to apply a voucher.</t>
  </si>
  <si>
    <t>Coupon</t>
  </si>
  <si>
    <t>TC_Cart_41</t>
  </si>
  <si>
    <t>[API][200][POST] - Verify successfully  apply a valid coupon code</t>
  </si>
  <si>
    <t>POST/Params: route=extension/total/coupon/coupon
Body (form-data):
coupon: [valid_coupon_code]</t>
  </si>
  <si>
    <t>The response:
"success": "Success: Your coupon discount has been applied!"</t>
  </si>
  <si>
    <t>TC_Cart_42</t>
  </si>
  <si>
    <t>[API][200][POST] - Verify  unsuccessfully apply a invalid coupon code</t>
  </si>
  <si>
    <t xml:space="preserve">1. API URL is active.
2. Cart has items.
</t>
  </si>
  <si>
    <t>Params: route=extension/total/coupon/coupon
Body (form-data):
coupon: 1111</t>
  </si>
  <si>
    <t xml:space="preserve">Status: 200 OK
Response body
    "error": "Warning: Coupon is either invalid, expired or reached its usage limit!"
</t>
  </si>
  <si>
    <t>Similar to Voucher, applying an invalid/expired coupon getting a 200 OK response violates RESTful API standards</t>
  </si>
  <si>
    <t>TC_Cart_43</t>
  </si>
  <si>
    <t>[API][200][POST] - Verify  unsuccessfully apply an empty  coupon code</t>
  </si>
  <si>
    <t>Params: route=extension/total/coupon/coupon
Body (form-data):
coupon: empty</t>
  </si>
  <si>
    <t>Status: 200 OK
Response body
"error": "Warning: Please enter a coupon code!"</t>
  </si>
  <si>
    <t>TC_Cart_44</t>
  </si>
  <si>
    <t>[API][POST] - Verify  unsuccessfully apply a coupon when cart is empty</t>
  </si>
  <si>
    <t xml:space="preserve">1. API URL is active.
2. Cart is empty.
</t>
  </si>
  <si>
    <t>Status: 200 OK
Response body
System should return an error stating no items are in cart to apply a discount.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</si>
</sst>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>
      <u/>
      <sz val="11.0"/>
      <color rgb="FF1155CC"/>
      <name val="Calibri"/>
    </font>
    <font>
      <sz val="11.0"/>
      <color theme="1"/>
      <name val="Calibri"/>
    </font>
    <font/>
    <font>
      <sz val="11.0"/>
      <color rgb="FFFFFFFF"/>
      <name val="Calibri"/>
    </font>
    <font>
      <color theme="1"/>
      <name val="Arial"/>
      <scheme val="minor"/>
    </font>
    <font>
      <u/>
      <sz val="11.0"/>
      <color rgb="FF1155CC"/>
      <name val="Calibri"/>
    </font>
    <font>
      <color rgb="FFFFFFFF"/>
      <name val="Arial"/>
      <scheme val="minor"/>
    </font>
    <font>
      <color rgb="FFF0F6FC"/>
      <name val="Ui-monospace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  <scheme val="minor"/>
    </font>
    <font>
      <u/>
      <sz val="11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656C76"/>
        <bgColor rgb="FF656C76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3" fontId="3" numFmtId="0" xfId="0" applyAlignment="1" applyBorder="1" applyFill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shrinkToFit="0" vertical="bottom" wrapText="1"/>
    </xf>
    <xf borderId="3" fillId="0" fontId="6" numFmtId="0" xfId="0" applyBorder="1" applyFont="1"/>
    <xf borderId="1" fillId="4" fontId="7" numFmtId="0" xfId="0" applyAlignment="1" applyBorder="1" applyFill="1" applyFont="1">
      <alignment horizontal="center" shrinkToFit="0" vertical="bottom" wrapText="1"/>
    </xf>
    <xf borderId="4" fillId="0" fontId="2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vertical="top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bottom" wrapText="1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6" fillId="2" fontId="2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top" wrapText="1"/>
    </xf>
    <xf borderId="1" fillId="0" fontId="8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readingOrder="0"/>
    </xf>
    <xf borderId="0" fillId="5" fontId="11" numFmtId="0" xfId="0" applyAlignment="1" applyFill="1" applyFont="1">
      <alignment readingOrder="0"/>
    </xf>
    <xf borderId="1" fillId="0" fontId="8" numFmtId="0" xfId="0" applyBorder="1" applyFont="1"/>
    <xf borderId="0" fillId="0" fontId="8" numFmtId="0" xfId="0" applyAlignment="1" applyFont="1">
      <alignment readingOrder="0" shrinkToFit="0" vertical="center" wrapText="1"/>
    </xf>
    <xf borderId="6" fillId="0" fontId="12" numFmtId="0" xfId="0" applyAlignment="1" applyBorder="1" applyFont="1">
      <alignment readingOrder="0" shrinkToFit="0" vertical="center" wrapText="1"/>
    </xf>
    <xf borderId="6" fillId="0" fontId="13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2" fontId="15" numFmtId="0" xfId="0" applyAlignment="1" applyBorder="1" applyFont="1">
      <alignment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ont="1">
      <alignment readingOrder="0" shrinkToFit="0" vertical="center" wrapText="1"/>
    </xf>
    <xf borderId="1" fillId="6" fontId="8" numFmtId="0" xfId="0" applyAlignment="1" applyBorder="1" applyFont="1">
      <alignment readingOrder="0" shrinkToFit="0" vertical="center" wrapText="1"/>
    </xf>
    <xf borderId="1" fillId="6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ont="1">
      <alignment readingOrder="0" shrinkToFit="0" vertical="center" wrapText="1"/>
    </xf>
    <xf borderId="1" fillId="7" fontId="8" numFmtId="0" xfId="0" applyAlignment="1" applyBorder="1" applyFont="1">
      <alignment readingOrder="0" shrinkToFit="0" vertical="center" wrapText="1"/>
    </xf>
    <xf borderId="1" fillId="7" fontId="5" numFmtId="0" xfId="0" applyAlignment="1" applyBorder="1" applyFont="1">
      <alignment shrinkToFit="0" vertical="center" wrapText="1"/>
    </xf>
    <xf borderId="0" fillId="7" fontId="8" numFmtId="0" xfId="0" applyAlignment="1" applyFont="1">
      <alignment readingOrder="0"/>
    </xf>
    <xf borderId="0" fillId="7" fontId="8" numFmtId="0" xfId="0" applyFont="1"/>
    <xf borderId="0" fillId="7" fontId="8" numFmtId="0" xfId="0" applyAlignment="1" applyFont="1">
      <alignment shrinkToFit="0" wrapText="1"/>
    </xf>
    <xf borderId="1" fillId="7" fontId="2" numFmtId="0" xfId="0" applyAlignment="1" applyBorder="1" applyFont="1">
      <alignment readingOrder="0" vertical="center"/>
    </xf>
    <xf borderId="1" fillId="7" fontId="2" numFmtId="0" xfId="0" applyAlignment="1" applyBorder="1" applyFont="1">
      <alignment shrinkToFit="0" vertical="center" wrapText="1"/>
    </xf>
    <xf borderId="1" fillId="7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despa/Postman-Complete-Guide-API-Testing/blob/main/simple-grocery-store-api.md" TargetMode="External"/><Relationship Id="rId2" Type="http://schemas.openxmlformats.org/officeDocument/2006/relationships/hyperlink" Target="https://simple-grocery-store-api.click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despa/Postman-Complete-Guide-API-Testing/blob/main/simple-grocery-store-api.md" TargetMode="External"/><Relationship Id="rId2" Type="http://schemas.openxmlformats.org/officeDocument/2006/relationships/hyperlink" Target="https://simple-grocery-store-api.click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despa/Postman-Complete-Guide-API-Testing/blob/main/simple-grocery-store-api.md" TargetMode="External"/><Relationship Id="rId2" Type="http://schemas.openxmlformats.org/officeDocument/2006/relationships/hyperlink" Target="https://simple-grocery-store-api.click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despa/Postman-Complete-Guide-API-Testing/blob/main/simple-grocery-store-api.md" TargetMode="External"/><Relationship Id="rId2" Type="http://schemas.openxmlformats.org/officeDocument/2006/relationships/hyperlink" Target="https://simple-grocery-store-api.click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despa/Postman-Complete-Guide-API-Testing/blob/main/simple-grocery-store-api.md" TargetMode="External"/><Relationship Id="rId2" Type="http://schemas.openxmlformats.org/officeDocument/2006/relationships/hyperlink" Target="https://simple-grocery-store-api.click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despa/Postman-Complete-Guide-API-Testing/blob/main/simple-grocery-store-api.md" TargetMode="External"/><Relationship Id="rId2" Type="http://schemas.openxmlformats.org/officeDocument/2006/relationships/hyperlink" Target="https://simple-grocery-store-api.click/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despa/Postman-Complete-Guide-API-Testing/blob/main/simple-grocery-store-api.md" TargetMode="External"/><Relationship Id="rId2" Type="http://schemas.openxmlformats.org/officeDocument/2006/relationships/hyperlink" Target="https://simple-grocery-store-api.click/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5xB39IuK5Kpu_cOhXwiOlpcWLgO7sI3X/view?usp=sharing" TargetMode="External"/><Relationship Id="rId11" Type="http://schemas.openxmlformats.org/officeDocument/2006/relationships/hyperlink" Target="https://drive.google.com/file/d/1ysfymhDDA25gdjMmdYgOQjRckmRYSbT2/view?usp=sharing" TargetMode="External"/><Relationship Id="rId10" Type="http://schemas.openxmlformats.org/officeDocument/2006/relationships/hyperlink" Target="https://drive.google.com/file/d/1yCIy326x5rwYVBSEJSOdmnp6hlX0RS5j/view?usp=sharing" TargetMode="External"/><Relationship Id="rId21" Type="http://schemas.openxmlformats.org/officeDocument/2006/relationships/drawing" Target="../drawings/drawing9.xml"/><Relationship Id="rId13" Type="http://schemas.openxmlformats.org/officeDocument/2006/relationships/hyperlink" Target="https://drive.google.com/file/d/1bwgJMFV2089TAIeOOFH5BM3cdypI7Ycz/view?usp=sharing" TargetMode="External"/><Relationship Id="rId12" Type="http://schemas.openxmlformats.org/officeDocument/2006/relationships/hyperlink" Target="https://drive.google.com/file/d/17vGcaLG0FfOsiGZWvBLDvjiYFS9L0gmO/view?usp=sharing" TargetMode="External"/><Relationship Id="rId1" Type="http://schemas.openxmlformats.org/officeDocument/2006/relationships/hyperlink" Target="https://github.com/vdespa/Postman-Complete-Guide-API-Testing/blob/main/simple-grocery-store-api.md" TargetMode="External"/><Relationship Id="rId2" Type="http://schemas.openxmlformats.org/officeDocument/2006/relationships/hyperlink" Target="https://simple-grocery-store-api.click/" TargetMode="External"/><Relationship Id="rId3" Type="http://schemas.openxmlformats.org/officeDocument/2006/relationships/hyperlink" Target="https://drive.google.com/file/d/1vfz7jmj5i-iLjpQ7efo5jJhujxl4dO9i/view?usp=sharing" TargetMode="External"/><Relationship Id="rId4" Type="http://schemas.openxmlformats.org/officeDocument/2006/relationships/hyperlink" Target="https://drive.google.com/file/d/1tVvHkw1zdHZarzAFr4YQLex-jythjdFM/view?usp=sharing" TargetMode="External"/><Relationship Id="rId9" Type="http://schemas.openxmlformats.org/officeDocument/2006/relationships/hyperlink" Target="https://drive.google.com/file/d/1S38fh2afiQ1Kx5roS_aENEBct-I6c-uI/view?usp=sharing" TargetMode="External"/><Relationship Id="rId15" Type="http://schemas.openxmlformats.org/officeDocument/2006/relationships/hyperlink" Target="https://drive.google.com/file/d/11aoiuDbGStn2gnybwFxRvPxzckuZbBl-/view?usp=sharing" TargetMode="External"/><Relationship Id="rId14" Type="http://schemas.openxmlformats.org/officeDocument/2006/relationships/hyperlink" Target="https://drive.google.com/file/d/1I7ULv7Oj4FAjQs2ExeG6y0sA58M3A7dP/view?usp=sharing" TargetMode="External"/><Relationship Id="rId17" Type="http://schemas.openxmlformats.org/officeDocument/2006/relationships/hyperlink" Target="https://drive.google.com/file/d/1v_c6iw5L3_jgCPe3xEZUBaNe3ZYY2cJt/view?usp=sharing" TargetMode="External"/><Relationship Id="rId16" Type="http://schemas.openxmlformats.org/officeDocument/2006/relationships/hyperlink" Target="https://drive.google.com/file/d/1Dl8h65KgtBROPqJUh0udegE3HuFeOV66/view?usp=sharing" TargetMode="External"/><Relationship Id="rId5" Type="http://schemas.openxmlformats.org/officeDocument/2006/relationships/hyperlink" Target="https://drive.google.com/file/d/1gBCtiJzkBydkFF67UuKMAMtdGPqH0nod/view?usp=sharing" TargetMode="External"/><Relationship Id="rId19" Type="http://schemas.openxmlformats.org/officeDocument/2006/relationships/hyperlink" Target="https://drive.google.com/file/d/1BgGG0jyypGTpwNCd7MDDLaqslrFlnc7d/view?usp=sharing" TargetMode="External"/><Relationship Id="rId6" Type="http://schemas.openxmlformats.org/officeDocument/2006/relationships/hyperlink" Target="https://drive.google.com/file/d/1RSeSi9hs7cI-kyt8e9mtdTkmKbwx4kJO/view?usp=sharing" TargetMode="External"/><Relationship Id="rId18" Type="http://schemas.openxmlformats.org/officeDocument/2006/relationships/hyperlink" Target="https://drive.google.com/file/d/14vQow5d-Zw9cexqD4mkansthB4qSr5Wg/view?usp=sharing" TargetMode="External"/><Relationship Id="rId7" Type="http://schemas.openxmlformats.org/officeDocument/2006/relationships/hyperlink" Target="https://drive.google.com/file/d/1xpvyGV72op3s6KvdwJ5Gii3ITw4JLNvJ/view?usp=sharing" TargetMode="External"/><Relationship Id="rId8" Type="http://schemas.openxmlformats.org/officeDocument/2006/relationships/hyperlink" Target="https://drive.google.com/file/d/1bzvBysyu1oMGak4Pzd6U-6Km03EMyKSR/view?usp=sharing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despa/Postman-Complete-Guide-API-Testing/blob/main/simple-grocery-store-api.md" TargetMode="External"/><Relationship Id="rId2" Type="http://schemas.openxmlformats.org/officeDocument/2006/relationships/hyperlink" Target="https://simple-grocery-store-api.click/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despa/Postman-Complete-Guide-API-Testing/blob/main/simple-grocery-store-api.md" TargetMode="External"/><Relationship Id="rId2" Type="http://schemas.openxmlformats.org/officeDocument/2006/relationships/hyperlink" Target="https://simple-grocery-store-api.click/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simple-grocery-store-api.click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34.75"/>
    <col customWidth="1" min="3" max="3" width="27.75"/>
    <col customWidth="1" min="4" max="4" width="28.63"/>
    <col customWidth="1" min="5" max="5" width="25.13"/>
    <col customWidth="1" min="6" max="6" width="21.75"/>
    <col customWidth="1" min="7" max="7" width="27.38"/>
    <col customWidth="1" min="8" max="8" width="25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3"/>
    </row>
    <row r="3">
      <c r="A3" s="4" t="s">
        <v>9</v>
      </c>
      <c r="B3" s="5" t="s">
        <v>10</v>
      </c>
      <c r="C3" s="7">
        <f>SUM(D3:G3)</f>
        <v>28</v>
      </c>
      <c r="D3" s="7">
        <f>COUNTIF(G7:G1000, "Pass")</f>
        <v>7</v>
      </c>
      <c r="E3" s="7">
        <f>COUNTIF(G7:G1000, "Pass")</f>
        <v>7</v>
      </c>
      <c r="F3" s="7">
        <f>COUNTIF(G7:G1000, "Pass")</f>
        <v>7</v>
      </c>
      <c r="G3" s="7">
        <f>COUNTIF(G7:G1000, "Pass")</f>
        <v>7</v>
      </c>
      <c r="H3" s="3"/>
    </row>
    <row r="4">
      <c r="A4" s="4" t="s">
        <v>11</v>
      </c>
      <c r="B4" s="8" t="s">
        <v>12</v>
      </c>
      <c r="C4" s="9"/>
      <c r="D4" s="9"/>
      <c r="E4" s="9"/>
      <c r="F4" s="9"/>
      <c r="G4" s="9"/>
      <c r="H4" s="3"/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20</v>
      </c>
    </row>
    <row r="6">
      <c r="A6" s="2" t="s">
        <v>21</v>
      </c>
      <c r="B6" s="11" t="s">
        <v>22</v>
      </c>
      <c r="C6" s="12" t="s">
        <v>23</v>
      </c>
      <c r="D6" s="13" t="s">
        <v>24</v>
      </c>
      <c r="E6" s="12" t="s">
        <v>25</v>
      </c>
      <c r="F6" s="13" t="s">
        <v>26</v>
      </c>
      <c r="G6" s="13" t="s">
        <v>5</v>
      </c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" t="s">
        <v>27</v>
      </c>
      <c r="B7" s="16" t="s">
        <v>28</v>
      </c>
      <c r="C7" s="17" t="s">
        <v>29</v>
      </c>
      <c r="D7" s="13" t="s">
        <v>24</v>
      </c>
      <c r="E7" s="18" t="s">
        <v>30</v>
      </c>
      <c r="F7" s="19" t="s">
        <v>31</v>
      </c>
      <c r="G7" s="19" t="s">
        <v>5</v>
      </c>
      <c r="H7" s="20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" t="s">
        <v>32</v>
      </c>
      <c r="B8" s="16" t="s">
        <v>33</v>
      </c>
      <c r="C8" s="17" t="s">
        <v>34</v>
      </c>
      <c r="D8" s="13" t="s">
        <v>24</v>
      </c>
      <c r="E8" s="18" t="s">
        <v>30</v>
      </c>
      <c r="F8" s="19" t="s">
        <v>31</v>
      </c>
      <c r="G8" s="19" t="s">
        <v>5</v>
      </c>
      <c r="H8" s="20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" t="s">
        <v>35</v>
      </c>
      <c r="B9" s="16" t="s">
        <v>36</v>
      </c>
      <c r="C9" s="17" t="s">
        <v>37</v>
      </c>
      <c r="D9" s="19" t="s">
        <v>38</v>
      </c>
      <c r="E9" s="17" t="s">
        <v>39</v>
      </c>
      <c r="F9" s="19" t="s">
        <v>40</v>
      </c>
      <c r="G9" s="19" t="s">
        <v>5</v>
      </c>
      <c r="H9" s="20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" t="s">
        <v>41</v>
      </c>
      <c r="B10" s="16" t="s">
        <v>42</v>
      </c>
      <c r="C10" s="17" t="s">
        <v>37</v>
      </c>
      <c r="D10" s="16" t="s">
        <v>43</v>
      </c>
      <c r="E10" s="17" t="s">
        <v>44</v>
      </c>
      <c r="F10" s="16" t="s">
        <v>40</v>
      </c>
      <c r="G10" s="19" t="s">
        <v>5</v>
      </c>
      <c r="H10" s="20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" t="s">
        <v>45</v>
      </c>
      <c r="B11" s="16" t="s">
        <v>46</v>
      </c>
      <c r="C11" s="17" t="s">
        <v>37</v>
      </c>
      <c r="D11" s="16" t="s">
        <v>47</v>
      </c>
      <c r="E11" s="21"/>
      <c r="F11" s="20"/>
      <c r="G11" s="20"/>
      <c r="H11" s="20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2" t="s">
        <v>48</v>
      </c>
      <c r="B12" s="16" t="s">
        <v>49</v>
      </c>
      <c r="C12" s="17" t="s">
        <v>37</v>
      </c>
      <c r="D12" s="16" t="s">
        <v>50</v>
      </c>
      <c r="E12" s="17" t="s">
        <v>51</v>
      </c>
      <c r="F12" s="16" t="s">
        <v>40</v>
      </c>
      <c r="G12" s="19" t="s">
        <v>5</v>
      </c>
      <c r="H12" s="20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" t="s">
        <v>52</v>
      </c>
      <c r="B13" s="16" t="s">
        <v>53</v>
      </c>
      <c r="C13" s="17" t="s">
        <v>37</v>
      </c>
      <c r="D13" s="16" t="s">
        <v>54</v>
      </c>
      <c r="E13" s="17" t="s">
        <v>51</v>
      </c>
      <c r="F13" s="19" t="s">
        <v>55</v>
      </c>
      <c r="G13" s="19" t="s">
        <v>5</v>
      </c>
      <c r="H13" s="20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" t="s">
        <v>56</v>
      </c>
      <c r="B14" s="16" t="s">
        <v>57</v>
      </c>
      <c r="C14" s="17" t="s">
        <v>37</v>
      </c>
      <c r="D14" s="16" t="s">
        <v>58</v>
      </c>
      <c r="E14" s="17" t="s">
        <v>51</v>
      </c>
      <c r="F14" s="19" t="s">
        <v>40</v>
      </c>
      <c r="G14" s="19" t="s">
        <v>5</v>
      </c>
      <c r="H14" s="20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2"/>
      <c r="B15" s="23"/>
      <c r="C15" s="24"/>
      <c r="D15" s="22"/>
      <c r="E15" s="25"/>
      <c r="F15" s="22"/>
      <c r="G15" s="22"/>
      <c r="H15" s="22"/>
    </row>
    <row r="16">
      <c r="A16" s="22"/>
      <c r="B16" s="23"/>
      <c r="C16" s="24"/>
      <c r="D16" s="22"/>
      <c r="E16" s="24"/>
      <c r="F16" s="22"/>
      <c r="G16" s="22"/>
      <c r="H16" s="22"/>
    </row>
    <row r="17">
      <c r="A17" s="22"/>
      <c r="B17" s="23"/>
      <c r="C17" s="24"/>
      <c r="D17" s="23"/>
      <c r="E17" s="24"/>
      <c r="F17" s="23"/>
      <c r="G17" s="22"/>
      <c r="H17" s="22"/>
    </row>
    <row r="18">
      <c r="A18" s="22"/>
      <c r="B18" s="23"/>
      <c r="C18" s="25"/>
      <c r="D18" s="23"/>
      <c r="E18" s="25"/>
      <c r="F18" s="22"/>
      <c r="G18" s="22"/>
      <c r="H18" s="22"/>
    </row>
    <row r="19">
      <c r="A19" s="22"/>
      <c r="B19" s="23"/>
      <c r="C19" s="22"/>
      <c r="D19" s="23"/>
      <c r="E19" s="24"/>
      <c r="F19" s="23"/>
      <c r="G19" s="22"/>
      <c r="H19" s="22"/>
    </row>
    <row r="20">
      <c r="A20" s="22"/>
      <c r="B20" s="23"/>
      <c r="C20" s="22"/>
      <c r="D20" s="22"/>
      <c r="E20" s="22"/>
      <c r="F20" s="22"/>
      <c r="G20" s="22"/>
      <c r="H20" s="22"/>
    </row>
    <row r="21">
      <c r="A21" s="22"/>
      <c r="B21" s="23"/>
      <c r="C21" s="22"/>
      <c r="D21" s="22"/>
      <c r="E21" s="22"/>
      <c r="F21" s="22"/>
      <c r="G21" s="22"/>
      <c r="H21" s="22"/>
    </row>
  </sheetData>
  <mergeCells count="5">
    <mergeCell ref="C3:C4"/>
    <mergeCell ref="D3:D4"/>
    <mergeCell ref="E3:E4"/>
    <mergeCell ref="F3:F4"/>
    <mergeCell ref="G3:G4"/>
  </mergeCells>
  <dataValidations>
    <dataValidation type="list" allowBlank="1" showErrorMessage="1" sqref="G6:G12">
      <formula1>"PASS,FAIL,Blocked,Not Tested"</formula1>
    </dataValidation>
    <dataValidation type="list" allowBlank="1" showErrorMessage="1" sqref="F6:F12">
      <formula1>"HIGH,MEDIUM,MINOR"</formula1>
    </dataValidation>
  </dataValidations>
  <hyperlinks>
    <hyperlink r:id="rId1" location="Register-a-new-API-client" ref="B2"/>
    <hyperlink r:id="rId2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6.38"/>
  </cols>
  <sheetData>
    <row r="1">
      <c r="A1" s="26" t="s">
        <v>59</v>
      </c>
      <c r="B1" s="27" t="s">
        <v>60</v>
      </c>
      <c r="C1" s="28"/>
      <c r="D1" s="28"/>
    </row>
    <row r="2">
      <c r="A2" s="26" t="s">
        <v>61</v>
      </c>
      <c r="B2" s="27" t="s">
        <v>62</v>
      </c>
      <c r="C2" s="28"/>
      <c r="D2" s="28"/>
    </row>
    <row r="3">
      <c r="B3" s="28"/>
      <c r="C3" s="28"/>
      <c r="D3" s="28"/>
    </row>
    <row r="4">
      <c r="A4" s="26" t="s">
        <v>63</v>
      </c>
      <c r="B4" s="28"/>
      <c r="C4" s="28"/>
      <c r="D4" s="28"/>
    </row>
    <row r="5">
      <c r="A5" s="26" t="s">
        <v>64</v>
      </c>
      <c r="B5" s="27" t="s">
        <v>65</v>
      </c>
      <c r="C5" s="28"/>
      <c r="D5" s="28"/>
    </row>
    <row r="6">
      <c r="A6" s="26" t="s">
        <v>66</v>
      </c>
      <c r="B6" s="27" t="s">
        <v>67</v>
      </c>
      <c r="C6" s="28"/>
      <c r="D6" s="28"/>
    </row>
    <row r="7">
      <c r="A7" s="26" t="s">
        <v>68</v>
      </c>
      <c r="B7" s="27" t="s">
        <v>69</v>
      </c>
      <c r="C7" s="28"/>
      <c r="D7" s="28"/>
    </row>
    <row r="8">
      <c r="A8" s="26" t="s">
        <v>70</v>
      </c>
      <c r="B8" s="27" t="s">
        <v>71</v>
      </c>
      <c r="C8" s="28"/>
      <c r="D8" s="28"/>
    </row>
    <row r="9">
      <c r="A9" s="26" t="s">
        <v>72</v>
      </c>
      <c r="B9" s="27" t="s">
        <v>73</v>
      </c>
      <c r="C9" s="28"/>
      <c r="D9" s="28"/>
    </row>
    <row r="10">
      <c r="A10" s="26" t="s">
        <v>74</v>
      </c>
      <c r="B10" s="27" t="s">
        <v>75</v>
      </c>
    </row>
    <row r="11">
      <c r="A11" s="26" t="s">
        <v>76</v>
      </c>
      <c r="B11" s="27" t="s">
        <v>77</v>
      </c>
    </row>
    <row r="12">
      <c r="A12" s="26" t="s">
        <v>78</v>
      </c>
      <c r="B12" s="27" t="s">
        <v>79</v>
      </c>
    </row>
    <row r="13">
      <c r="A13" s="26" t="s">
        <v>80</v>
      </c>
      <c r="B13" s="26" t="s">
        <v>81</v>
      </c>
    </row>
    <row r="15">
      <c r="A15" s="26" t="s">
        <v>82</v>
      </c>
    </row>
    <row r="16">
      <c r="A16" s="26" t="s">
        <v>83</v>
      </c>
      <c r="B16" s="27" t="s">
        <v>84</v>
      </c>
    </row>
    <row r="17">
      <c r="A17" s="26" t="s">
        <v>85</v>
      </c>
      <c r="B17" s="27" t="s">
        <v>86</v>
      </c>
    </row>
    <row r="18">
      <c r="A18" s="26" t="s">
        <v>87</v>
      </c>
      <c r="B18" s="27" t="s">
        <v>88</v>
      </c>
    </row>
    <row r="19">
      <c r="A19" s="26" t="s">
        <v>89</v>
      </c>
      <c r="B19" s="27" t="s">
        <v>90</v>
      </c>
    </row>
    <row r="20">
      <c r="A20" s="26" t="s">
        <v>91</v>
      </c>
      <c r="B20" s="27" t="s">
        <v>92</v>
      </c>
    </row>
    <row r="21">
      <c r="A21" s="26" t="s">
        <v>93</v>
      </c>
      <c r="B21" s="27" t="s">
        <v>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9.13"/>
    <col customWidth="1" min="3" max="3" width="21.5"/>
    <col customWidth="1" min="4" max="4" width="29.63"/>
    <col customWidth="1" min="5" max="5" width="20.5"/>
    <col customWidth="1" min="6" max="6" width="12.88"/>
    <col customWidth="1" min="7" max="7" width="13.88"/>
  </cols>
  <sheetData>
    <row r="1">
      <c r="A1" s="29" t="s">
        <v>0</v>
      </c>
      <c r="B1" s="30" t="s">
        <v>95</v>
      </c>
      <c r="C1" s="31"/>
      <c r="D1" s="31"/>
      <c r="E1" s="31"/>
      <c r="F1" s="31"/>
      <c r="G1" s="31"/>
      <c r="H1" s="31"/>
    </row>
    <row r="2">
      <c r="A2" s="3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  <c r="H2" s="31"/>
    </row>
    <row r="3">
      <c r="A3" s="32" t="s">
        <v>9</v>
      </c>
      <c r="B3" s="33" t="s">
        <v>10</v>
      </c>
      <c r="C3" s="35">
        <f>SUM(D3:G3)</f>
        <v>14</v>
      </c>
      <c r="D3" s="35">
        <f>COUNTIF($G6:$G22, "PASS")</f>
        <v>14</v>
      </c>
      <c r="E3" s="35">
        <f>COUNTIF($G6:$G22, "FAILD")</f>
        <v>0</v>
      </c>
      <c r="F3" s="35">
        <f>COUNTIF($G6:$G22, "Blocked")</f>
        <v>0</v>
      </c>
      <c r="G3" s="35">
        <f>COUNTIF($G6:$G22, "Not Tested")</f>
        <v>0</v>
      </c>
      <c r="H3" s="31"/>
    </row>
    <row r="4">
      <c r="A4" s="32" t="s">
        <v>11</v>
      </c>
      <c r="B4" s="36" t="s">
        <v>12</v>
      </c>
      <c r="C4" s="9"/>
      <c r="D4" s="9"/>
      <c r="E4" s="9"/>
      <c r="F4" s="9"/>
      <c r="G4" s="9"/>
      <c r="H4" s="31"/>
    </row>
    <row r="5">
      <c r="A5" s="37" t="s">
        <v>13</v>
      </c>
      <c r="B5" s="37" t="s">
        <v>14</v>
      </c>
      <c r="C5" s="37" t="s">
        <v>15</v>
      </c>
      <c r="D5" s="37" t="s">
        <v>16</v>
      </c>
      <c r="E5" s="37" t="s">
        <v>17</v>
      </c>
      <c r="F5" s="37" t="s">
        <v>18</v>
      </c>
      <c r="G5" s="37" t="s">
        <v>19</v>
      </c>
      <c r="H5" s="37" t="s">
        <v>20</v>
      </c>
    </row>
    <row r="6">
      <c r="A6" s="38" t="s">
        <v>96</v>
      </c>
      <c r="B6" s="39" t="s">
        <v>97</v>
      </c>
      <c r="C6" s="39" t="s">
        <v>37</v>
      </c>
      <c r="D6" s="39" t="s">
        <v>98</v>
      </c>
      <c r="E6" s="39" t="s">
        <v>99</v>
      </c>
      <c r="F6" s="39" t="s">
        <v>31</v>
      </c>
      <c r="G6" s="40" t="s">
        <v>5</v>
      </c>
      <c r="H6" s="39" t="s">
        <v>100</v>
      </c>
    </row>
    <row r="7">
      <c r="A7" s="38" t="s">
        <v>101</v>
      </c>
      <c r="B7" s="39" t="s">
        <v>102</v>
      </c>
      <c r="C7" s="39" t="s">
        <v>37</v>
      </c>
      <c r="D7" s="39" t="s">
        <v>103</v>
      </c>
      <c r="E7" s="39" t="s">
        <v>104</v>
      </c>
      <c r="F7" s="39" t="s">
        <v>31</v>
      </c>
      <c r="G7" s="40" t="s">
        <v>5</v>
      </c>
      <c r="H7" s="30"/>
    </row>
    <row r="8">
      <c r="A8" s="38" t="s">
        <v>105</v>
      </c>
      <c r="B8" s="40" t="s">
        <v>106</v>
      </c>
      <c r="C8" s="39" t="s">
        <v>37</v>
      </c>
      <c r="D8" s="40" t="s">
        <v>107</v>
      </c>
      <c r="E8" s="40" t="s">
        <v>108</v>
      </c>
      <c r="F8" s="40" t="s">
        <v>31</v>
      </c>
      <c r="G8" s="40" t="s">
        <v>5</v>
      </c>
      <c r="H8" s="30"/>
    </row>
    <row r="9">
      <c r="A9" s="38" t="s">
        <v>109</v>
      </c>
      <c r="B9" s="40" t="s">
        <v>110</v>
      </c>
      <c r="C9" s="39" t="s">
        <v>37</v>
      </c>
      <c r="D9" s="40" t="s">
        <v>111</v>
      </c>
      <c r="E9" s="40" t="s">
        <v>108</v>
      </c>
      <c r="F9" s="40" t="s">
        <v>31</v>
      </c>
      <c r="G9" s="40" t="s">
        <v>5</v>
      </c>
      <c r="H9" s="30"/>
    </row>
    <row r="10">
      <c r="A10" s="38" t="s">
        <v>112</v>
      </c>
      <c r="B10" s="40" t="s">
        <v>113</v>
      </c>
      <c r="C10" s="39" t="s">
        <v>37</v>
      </c>
      <c r="D10" s="40" t="s">
        <v>114</v>
      </c>
      <c r="E10" s="40" t="s">
        <v>115</v>
      </c>
      <c r="F10" s="40" t="s">
        <v>31</v>
      </c>
      <c r="G10" s="40" t="s">
        <v>5</v>
      </c>
      <c r="H10" s="30"/>
    </row>
    <row r="11">
      <c r="A11" s="38" t="s">
        <v>116</v>
      </c>
      <c r="B11" s="40" t="s">
        <v>117</v>
      </c>
      <c r="C11" s="39" t="s">
        <v>37</v>
      </c>
      <c r="D11" s="40" t="s">
        <v>118</v>
      </c>
      <c r="E11" s="40" t="s">
        <v>115</v>
      </c>
      <c r="F11" s="40" t="s">
        <v>31</v>
      </c>
      <c r="G11" s="40" t="s">
        <v>5</v>
      </c>
      <c r="H11" s="30"/>
    </row>
    <row r="12">
      <c r="A12" s="38" t="s">
        <v>119</v>
      </c>
      <c r="B12" s="40" t="s">
        <v>120</v>
      </c>
      <c r="C12" s="39" t="s">
        <v>37</v>
      </c>
      <c r="D12" s="40" t="s">
        <v>121</v>
      </c>
      <c r="E12" s="40" t="s">
        <v>108</v>
      </c>
      <c r="F12" s="40" t="s">
        <v>31</v>
      </c>
      <c r="G12" s="40" t="s">
        <v>5</v>
      </c>
      <c r="H12" s="30"/>
    </row>
    <row r="13">
      <c r="A13" s="38" t="s">
        <v>122</v>
      </c>
      <c r="B13" s="40" t="s">
        <v>123</v>
      </c>
      <c r="C13" s="39" t="s">
        <v>37</v>
      </c>
      <c r="D13" s="40" t="s">
        <v>124</v>
      </c>
      <c r="E13" s="40" t="s">
        <v>125</v>
      </c>
      <c r="F13" s="40" t="s">
        <v>31</v>
      </c>
      <c r="G13" s="40" t="s">
        <v>5</v>
      </c>
      <c r="H13" s="30"/>
    </row>
    <row r="14">
      <c r="A14" s="38" t="s">
        <v>126</v>
      </c>
      <c r="B14" s="40" t="s">
        <v>127</v>
      </c>
      <c r="C14" s="39" t="s">
        <v>37</v>
      </c>
      <c r="D14" s="40" t="s">
        <v>128</v>
      </c>
      <c r="E14" s="40" t="s">
        <v>129</v>
      </c>
      <c r="F14" s="40" t="s">
        <v>31</v>
      </c>
      <c r="G14" s="40" t="s">
        <v>5</v>
      </c>
      <c r="H14" s="30"/>
    </row>
    <row r="15">
      <c r="A15" s="38" t="s">
        <v>130</v>
      </c>
      <c r="B15" s="39" t="s">
        <v>131</v>
      </c>
      <c r="C15" s="39" t="s">
        <v>37</v>
      </c>
      <c r="D15" s="39" t="s">
        <v>132</v>
      </c>
      <c r="E15" s="40" t="s">
        <v>133</v>
      </c>
      <c r="F15" s="41" t="s">
        <v>31</v>
      </c>
      <c r="G15" s="39" t="s">
        <v>5</v>
      </c>
      <c r="H15" s="30"/>
    </row>
    <row r="16">
      <c r="A16" s="38" t="s">
        <v>134</v>
      </c>
      <c r="B16" s="39" t="s">
        <v>135</v>
      </c>
      <c r="C16" s="39" t="s">
        <v>37</v>
      </c>
      <c r="D16" s="39" t="s">
        <v>136</v>
      </c>
      <c r="E16" s="39" t="s">
        <v>104</v>
      </c>
      <c r="F16" s="41" t="s">
        <v>31</v>
      </c>
      <c r="G16" s="40" t="s">
        <v>5</v>
      </c>
      <c r="H16" s="30"/>
    </row>
    <row r="17">
      <c r="A17" s="38" t="s">
        <v>137</v>
      </c>
      <c r="B17" s="39" t="s">
        <v>138</v>
      </c>
      <c r="C17" s="39" t="s">
        <v>37</v>
      </c>
      <c r="D17" s="39" t="s">
        <v>139</v>
      </c>
      <c r="E17" s="39" t="s">
        <v>104</v>
      </c>
      <c r="F17" s="41" t="s">
        <v>31</v>
      </c>
      <c r="G17" s="40" t="s">
        <v>5</v>
      </c>
      <c r="H17" s="30"/>
    </row>
    <row r="18">
      <c r="A18" s="38" t="s">
        <v>140</v>
      </c>
      <c r="B18" s="39" t="s">
        <v>141</v>
      </c>
      <c r="C18" s="39" t="s">
        <v>37</v>
      </c>
      <c r="D18" s="39" t="s">
        <v>142</v>
      </c>
      <c r="E18" s="39" t="s">
        <v>104</v>
      </c>
      <c r="F18" s="41" t="s">
        <v>31</v>
      </c>
      <c r="G18" s="40" t="s">
        <v>5</v>
      </c>
      <c r="H18" s="30"/>
    </row>
    <row r="19">
      <c r="A19" s="38" t="s">
        <v>143</v>
      </c>
      <c r="B19" s="39" t="s">
        <v>144</v>
      </c>
      <c r="C19" s="39" t="s">
        <v>37</v>
      </c>
      <c r="D19" s="39" t="s">
        <v>98</v>
      </c>
      <c r="E19" s="39" t="s">
        <v>145</v>
      </c>
      <c r="F19" s="41" t="s">
        <v>31</v>
      </c>
      <c r="G19" s="40" t="s">
        <v>5</v>
      </c>
      <c r="H19" s="30"/>
    </row>
    <row r="20">
      <c r="A20" s="42"/>
      <c r="B20" s="43"/>
      <c r="C20" s="43"/>
      <c r="D20" s="44"/>
      <c r="E20" s="43"/>
      <c r="F20" s="15"/>
      <c r="G20" s="44"/>
      <c r="H20" s="15"/>
    </row>
    <row r="21">
      <c r="A21" s="42"/>
      <c r="B21" s="43"/>
      <c r="C21" s="43"/>
      <c r="D21" s="44"/>
      <c r="E21" s="43"/>
      <c r="F21" s="15"/>
      <c r="G21" s="44"/>
      <c r="H21" s="15"/>
    </row>
    <row r="22">
      <c r="A22" s="42"/>
      <c r="B22" s="43"/>
      <c r="C22" s="43"/>
      <c r="D22" s="44"/>
      <c r="E22" s="43"/>
      <c r="F22" s="15"/>
      <c r="G22" s="44"/>
      <c r="H22" s="15"/>
    </row>
  </sheetData>
  <mergeCells count="5">
    <mergeCell ref="C3:C4"/>
    <mergeCell ref="D3:D4"/>
    <mergeCell ref="E3:E4"/>
    <mergeCell ref="F3:F4"/>
    <mergeCell ref="G3:G4"/>
  </mergeCells>
  <dataValidations>
    <dataValidation type="list" allowBlank="1" showErrorMessage="1" sqref="G6:G22">
      <formula1>"PASS,FAIL,Blocked,Not Tested"</formula1>
    </dataValidation>
    <dataValidation type="list" allowBlank="1" showErrorMessage="1" sqref="F6:F22">
      <formula1>"HIGH,MEDIUM,MINOR"</formula1>
    </dataValidation>
  </dataValidations>
  <hyperlinks>
    <hyperlink r:id="rId1" location="Register-a-new-API-client" ref="B2"/>
    <hyperlink r:id="rId2" ref="B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5"/>
    <col customWidth="1" min="3" max="3" width="19.75"/>
    <col customWidth="1" min="4" max="4" width="26.13"/>
    <col customWidth="1" min="5" max="5" width="20.88"/>
    <col customWidth="1" min="6" max="6" width="18.0"/>
  </cols>
  <sheetData>
    <row r="1">
      <c r="A1" s="45" t="s">
        <v>0</v>
      </c>
      <c r="B1" s="46" t="s">
        <v>1</v>
      </c>
      <c r="C1" s="47"/>
      <c r="D1" s="47"/>
      <c r="E1" s="47"/>
      <c r="F1" s="47"/>
      <c r="G1" s="47"/>
      <c r="H1" s="48"/>
      <c r="I1" s="49"/>
    </row>
    <row r="2">
      <c r="A2" s="3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  <c r="H2" s="48"/>
      <c r="I2" s="49"/>
    </row>
    <row r="3">
      <c r="A3" s="32" t="s">
        <v>9</v>
      </c>
      <c r="B3" s="33" t="s">
        <v>10</v>
      </c>
      <c r="C3" s="35">
        <f>SUM(D3:G3)</f>
        <v>15</v>
      </c>
      <c r="D3" s="35">
        <f>COUNTIF(G6:G1006, "Pass")</f>
        <v>15</v>
      </c>
      <c r="E3" s="35">
        <f>COUNTIF(G6:G1006, "Fail")</f>
        <v>0</v>
      </c>
      <c r="F3" s="35">
        <f>COUNTIF(G7:G1006, "BLOCKED")</f>
        <v>0</v>
      </c>
      <c r="G3" s="35">
        <f>COUNTIF(G7:G1006, "NOT TESTED")</f>
        <v>0</v>
      </c>
      <c r="H3" s="48"/>
      <c r="I3" s="49"/>
    </row>
    <row r="4">
      <c r="A4" s="32" t="s">
        <v>11</v>
      </c>
      <c r="B4" s="36" t="s">
        <v>12</v>
      </c>
      <c r="C4" s="9"/>
      <c r="D4" s="9"/>
      <c r="E4" s="9"/>
      <c r="F4" s="9"/>
      <c r="G4" s="9"/>
      <c r="H4" s="48"/>
      <c r="I4" s="49"/>
    </row>
    <row r="5">
      <c r="A5" s="37" t="s">
        <v>13</v>
      </c>
      <c r="B5" s="37" t="s">
        <v>14</v>
      </c>
      <c r="C5" s="37" t="s">
        <v>15</v>
      </c>
      <c r="D5" s="37" t="s">
        <v>16</v>
      </c>
      <c r="E5" s="37" t="s">
        <v>17</v>
      </c>
      <c r="F5" s="37" t="s">
        <v>18</v>
      </c>
      <c r="G5" s="37" t="s">
        <v>19</v>
      </c>
      <c r="H5" s="50" t="s">
        <v>20</v>
      </c>
      <c r="I5" s="51" t="s">
        <v>146</v>
      </c>
    </row>
    <row r="6">
      <c r="A6" s="52" t="s">
        <v>147</v>
      </c>
      <c r="B6" s="40" t="s">
        <v>148</v>
      </c>
      <c r="C6" s="40" t="s">
        <v>149</v>
      </c>
      <c r="D6" s="40" t="s">
        <v>150</v>
      </c>
      <c r="E6" s="40" t="s">
        <v>151</v>
      </c>
      <c r="F6" s="39" t="s">
        <v>31</v>
      </c>
      <c r="G6" s="40" t="s">
        <v>5</v>
      </c>
      <c r="H6" s="53"/>
      <c r="I6" s="49"/>
    </row>
    <row r="7">
      <c r="A7" s="52" t="s">
        <v>152</v>
      </c>
      <c r="B7" s="40" t="s">
        <v>153</v>
      </c>
      <c r="C7" s="40" t="s">
        <v>149</v>
      </c>
      <c r="D7" s="40" t="s">
        <v>154</v>
      </c>
      <c r="E7" s="40" t="s">
        <v>155</v>
      </c>
      <c r="F7" s="39" t="s">
        <v>31</v>
      </c>
      <c r="G7" s="40" t="s">
        <v>5</v>
      </c>
      <c r="H7" s="53"/>
      <c r="I7" s="49"/>
    </row>
    <row r="8">
      <c r="A8" s="52" t="s">
        <v>156</v>
      </c>
      <c r="B8" s="40" t="s">
        <v>157</v>
      </c>
      <c r="C8" s="40" t="s">
        <v>158</v>
      </c>
      <c r="D8" s="40" t="s">
        <v>159</v>
      </c>
      <c r="E8" s="40" t="s">
        <v>160</v>
      </c>
      <c r="F8" s="40" t="s">
        <v>31</v>
      </c>
      <c r="G8" s="40" t="s">
        <v>5</v>
      </c>
      <c r="H8" s="53"/>
      <c r="I8" s="49"/>
    </row>
    <row r="9">
      <c r="A9" s="52" t="s">
        <v>161</v>
      </c>
      <c r="B9" s="40" t="s">
        <v>162</v>
      </c>
      <c r="C9" s="40" t="s">
        <v>158</v>
      </c>
      <c r="D9" s="40" t="s">
        <v>163</v>
      </c>
      <c r="E9" s="40" t="s">
        <v>164</v>
      </c>
      <c r="F9" s="40" t="s">
        <v>31</v>
      </c>
      <c r="G9" s="40" t="s">
        <v>5</v>
      </c>
      <c r="H9" s="53"/>
      <c r="I9" s="49"/>
    </row>
    <row r="10">
      <c r="A10" s="52" t="s">
        <v>165</v>
      </c>
      <c r="B10" s="40" t="s">
        <v>166</v>
      </c>
      <c r="C10" s="40" t="s">
        <v>158</v>
      </c>
      <c r="D10" s="40" t="s">
        <v>167</v>
      </c>
      <c r="E10" s="40" t="s">
        <v>168</v>
      </c>
      <c r="F10" s="40" t="s">
        <v>31</v>
      </c>
      <c r="G10" s="40" t="s">
        <v>5</v>
      </c>
      <c r="H10" s="53"/>
      <c r="I10" s="49"/>
    </row>
    <row r="11">
      <c r="A11" s="52" t="s">
        <v>169</v>
      </c>
      <c r="B11" s="40" t="s">
        <v>170</v>
      </c>
      <c r="C11" s="40" t="s">
        <v>158</v>
      </c>
      <c r="D11" s="40" t="s">
        <v>171</v>
      </c>
      <c r="E11" s="40" t="s">
        <v>164</v>
      </c>
      <c r="F11" s="40" t="s">
        <v>31</v>
      </c>
      <c r="G11" s="40" t="s">
        <v>5</v>
      </c>
      <c r="H11" s="53"/>
      <c r="I11" s="49"/>
    </row>
    <row r="12">
      <c r="A12" s="52" t="s">
        <v>172</v>
      </c>
      <c r="B12" s="40" t="s">
        <v>173</v>
      </c>
      <c r="C12" s="40" t="s">
        <v>158</v>
      </c>
      <c r="D12" s="40" t="s">
        <v>174</v>
      </c>
      <c r="E12" s="40" t="s">
        <v>175</v>
      </c>
      <c r="F12" s="40" t="s">
        <v>31</v>
      </c>
      <c r="G12" s="40" t="s">
        <v>5</v>
      </c>
      <c r="H12" s="53"/>
      <c r="I12" s="49"/>
    </row>
    <row r="13">
      <c r="A13" s="52" t="s">
        <v>176</v>
      </c>
      <c r="B13" s="40" t="s">
        <v>177</v>
      </c>
      <c r="C13" s="40" t="s">
        <v>158</v>
      </c>
      <c r="D13" s="40" t="s">
        <v>178</v>
      </c>
      <c r="E13" s="40" t="s">
        <v>175</v>
      </c>
      <c r="F13" s="40" t="s">
        <v>31</v>
      </c>
      <c r="G13" s="40" t="s">
        <v>5</v>
      </c>
      <c r="H13" s="53"/>
      <c r="I13" s="49"/>
    </row>
    <row r="14">
      <c r="A14" s="52" t="s">
        <v>179</v>
      </c>
      <c r="B14" s="40" t="s">
        <v>180</v>
      </c>
      <c r="C14" s="40" t="s">
        <v>158</v>
      </c>
      <c r="D14" s="40" t="s">
        <v>181</v>
      </c>
      <c r="E14" s="40" t="s">
        <v>175</v>
      </c>
      <c r="F14" s="40" t="s">
        <v>31</v>
      </c>
      <c r="G14" s="40" t="s">
        <v>5</v>
      </c>
      <c r="H14" s="53"/>
      <c r="I14" s="49"/>
    </row>
    <row r="15">
      <c r="A15" s="52" t="s">
        <v>182</v>
      </c>
      <c r="B15" s="40" t="s">
        <v>183</v>
      </c>
      <c r="C15" s="40" t="s">
        <v>158</v>
      </c>
      <c r="D15" s="40" t="s">
        <v>184</v>
      </c>
      <c r="E15" s="40" t="s">
        <v>185</v>
      </c>
      <c r="F15" s="40" t="s">
        <v>31</v>
      </c>
      <c r="G15" s="40" t="s">
        <v>5</v>
      </c>
      <c r="H15" s="53"/>
      <c r="I15" s="49"/>
    </row>
    <row r="16">
      <c r="A16" s="52" t="s">
        <v>186</v>
      </c>
      <c r="B16" s="40" t="s">
        <v>187</v>
      </c>
      <c r="C16" s="40" t="s">
        <v>188</v>
      </c>
      <c r="D16" s="40" t="s">
        <v>189</v>
      </c>
      <c r="E16" s="40" t="s">
        <v>190</v>
      </c>
      <c r="F16" s="40" t="s">
        <v>31</v>
      </c>
      <c r="G16" s="40" t="s">
        <v>5</v>
      </c>
      <c r="H16" s="53"/>
      <c r="I16" s="49"/>
    </row>
    <row r="17">
      <c r="A17" s="52" t="s">
        <v>191</v>
      </c>
      <c r="B17" s="40" t="s">
        <v>192</v>
      </c>
      <c r="C17" s="40" t="s">
        <v>158</v>
      </c>
      <c r="D17" s="40" t="s">
        <v>193</v>
      </c>
      <c r="E17" s="40" t="s">
        <v>194</v>
      </c>
      <c r="F17" s="40" t="s">
        <v>31</v>
      </c>
      <c r="G17" s="40" t="s">
        <v>5</v>
      </c>
      <c r="H17" s="53"/>
      <c r="I17" s="49"/>
    </row>
    <row r="18">
      <c r="A18" s="52" t="s">
        <v>195</v>
      </c>
      <c r="B18" s="40" t="s">
        <v>196</v>
      </c>
      <c r="C18" s="40" t="s">
        <v>158</v>
      </c>
      <c r="D18" s="40" t="s">
        <v>197</v>
      </c>
      <c r="E18" s="40" t="s">
        <v>194</v>
      </c>
      <c r="F18" s="40" t="s">
        <v>31</v>
      </c>
      <c r="G18" s="40" t="s">
        <v>5</v>
      </c>
      <c r="H18" s="53"/>
      <c r="I18" s="49"/>
    </row>
    <row r="19">
      <c r="A19" s="52" t="s">
        <v>198</v>
      </c>
      <c r="B19" s="40" t="s">
        <v>199</v>
      </c>
      <c r="C19" s="40" t="s">
        <v>158</v>
      </c>
      <c r="D19" s="40" t="s">
        <v>200</v>
      </c>
      <c r="E19" s="40" t="s">
        <v>194</v>
      </c>
      <c r="F19" s="40" t="s">
        <v>31</v>
      </c>
      <c r="G19" s="40" t="s">
        <v>5</v>
      </c>
      <c r="H19" s="53"/>
      <c r="I19" s="49"/>
    </row>
    <row r="20">
      <c r="A20" s="52" t="s">
        <v>201</v>
      </c>
      <c r="B20" s="40" t="s">
        <v>202</v>
      </c>
      <c r="C20" s="40" t="s">
        <v>158</v>
      </c>
      <c r="D20" s="40" t="s">
        <v>203</v>
      </c>
      <c r="E20" s="40" t="s">
        <v>194</v>
      </c>
      <c r="F20" s="40" t="s">
        <v>31</v>
      </c>
      <c r="G20" s="40" t="s">
        <v>5</v>
      </c>
      <c r="H20" s="53"/>
      <c r="I20" s="49"/>
    </row>
  </sheetData>
  <mergeCells count="5">
    <mergeCell ref="C3:C4"/>
    <mergeCell ref="D3:D4"/>
    <mergeCell ref="E3:E4"/>
    <mergeCell ref="F3:F4"/>
    <mergeCell ref="G3:G4"/>
  </mergeCells>
  <dataValidations>
    <dataValidation type="list" allowBlank="1" showErrorMessage="1" sqref="G6:G20">
      <formula1>"PASS,FAIL,Blocked,Not Tested"</formula1>
    </dataValidation>
    <dataValidation type="list" allowBlank="1" showErrorMessage="1" sqref="F6:F20">
      <formula1>"HIGH,MEDIUM,MINOR"</formula1>
    </dataValidation>
  </dataValidations>
  <hyperlinks>
    <hyperlink r:id="rId1" location="Register-a-new-API-client" ref="B2"/>
    <hyperlink r:id="rId2" ref="B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5"/>
    <col customWidth="1" min="2" max="2" width="31.25"/>
    <col customWidth="1" min="3" max="3" width="31.75"/>
    <col customWidth="1" min="4" max="4" width="23.5"/>
    <col customWidth="1" min="5" max="5" width="23.0"/>
    <col customWidth="1" min="6" max="6" width="22.25"/>
  </cols>
  <sheetData>
    <row r="1">
      <c r="A1" s="45" t="s">
        <v>0</v>
      </c>
      <c r="B1" s="46" t="s">
        <v>1</v>
      </c>
      <c r="C1" s="47"/>
      <c r="D1" s="47"/>
      <c r="E1" s="47"/>
      <c r="F1" s="47"/>
      <c r="G1" s="47"/>
      <c r="H1" s="48"/>
      <c r="I1" s="49"/>
    </row>
    <row r="2">
      <c r="A2" s="3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  <c r="H2" s="48"/>
      <c r="I2" s="49"/>
    </row>
    <row r="3">
      <c r="A3" s="32" t="s">
        <v>9</v>
      </c>
      <c r="B3" s="33" t="s">
        <v>10</v>
      </c>
      <c r="C3" s="35">
        <f>SUM(D3:G3)</f>
        <v>9</v>
      </c>
      <c r="D3" s="35">
        <f>COUNTIF(G6:G1004, "Pass")</f>
        <v>9</v>
      </c>
      <c r="E3" s="35">
        <f>COUNTIF(G6:G1004, "Fail")</f>
        <v>0</v>
      </c>
      <c r="F3" s="35">
        <f>COUNTIF(G7:G1004, "BLOCKED")</f>
        <v>0</v>
      </c>
      <c r="G3" s="35">
        <f>COUNTIF(G7:G1004, "NOT TESTED")</f>
        <v>0</v>
      </c>
      <c r="H3" s="48"/>
      <c r="I3" s="49"/>
    </row>
    <row r="4">
      <c r="A4" s="32" t="s">
        <v>11</v>
      </c>
      <c r="B4" s="36" t="s">
        <v>12</v>
      </c>
      <c r="C4" s="9"/>
      <c r="D4" s="9"/>
      <c r="E4" s="9"/>
      <c r="F4" s="9"/>
      <c r="G4" s="9"/>
      <c r="H4" s="48"/>
      <c r="I4" s="49"/>
    </row>
    <row r="5">
      <c r="A5" s="37" t="s">
        <v>13</v>
      </c>
      <c r="B5" s="37" t="s">
        <v>14</v>
      </c>
      <c r="C5" s="37" t="s">
        <v>15</v>
      </c>
      <c r="D5" s="37" t="s">
        <v>16</v>
      </c>
      <c r="E5" s="37" t="s">
        <v>17</v>
      </c>
      <c r="F5" s="37" t="s">
        <v>18</v>
      </c>
      <c r="G5" s="37" t="s">
        <v>19</v>
      </c>
      <c r="H5" s="50" t="s">
        <v>20</v>
      </c>
      <c r="I5" s="51" t="s">
        <v>146</v>
      </c>
    </row>
    <row r="6">
      <c r="A6" s="52" t="s">
        <v>204</v>
      </c>
      <c r="B6" s="40" t="s">
        <v>205</v>
      </c>
      <c r="C6" s="40" t="s">
        <v>149</v>
      </c>
      <c r="D6" s="40" t="s">
        <v>206</v>
      </c>
      <c r="E6" s="40" t="s">
        <v>207</v>
      </c>
      <c r="F6" s="39" t="s">
        <v>31</v>
      </c>
      <c r="G6" s="40" t="s">
        <v>5</v>
      </c>
      <c r="H6" s="53"/>
      <c r="I6" s="49"/>
    </row>
    <row r="7">
      <c r="A7" s="52" t="s">
        <v>208</v>
      </c>
      <c r="B7" s="40" t="s">
        <v>209</v>
      </c>
      <c r="C7" s="40" t="s">
        <v>149</v>
      </c>
      <c r="D7" s="40" t="s">
        <v>210</v>
      </c>
      <c r="E7" s="40" t="s">
        <v>211</v>
      </c>
      <c r="F7" s="39" t="s">
        <v>31</v>
      </c>
      <c r="G7" s="40" t="s">
        <v>5</v>
      </c>
      <c r="H7" s="53"/>
      <c r="I7" s="49"/>
    </row>
    <row r="8">
      <c r="A8" s="52" t="s">
        <v>212</v>
      </c>
      <c r="B8" s="40" t="s">
        <v>213</v>
      </c>
      <c r="C8" s="40" t="s">
        <v>149</v>
      </c>
      <c r="D8" s="40" t="s">
        <v>214</v>
      </c>
      <c r="E8" s="40" t="s">
        <v>215</v>
      </c>
      <c r="F8" s="40" t="s">
        <v>31</v>
      </c>
      <c r="G8" s="40" t="s">
        <v>5</v>
      </c>
      <c r="H8" s="53"/>
      <c r="I8" s="49"/>
    </row>
    <row r="9">
      <c r="A9" s="52" t="s">
        <v>216</v>
      </c>
      <c r="B9" s="40" t="s">
        <v>217</v>
      </c>
      <c r="C9" s="40" t="s">
        <v>149</v>
      </c>
      <c r="D9" s="40" t="s">
        <v>218</v>
      </c>
      <c r="E9" s="40" t="s">
        <v>219</v>
      </c>
      <c r="F9" s="40" t="s">
        <v>31</v>
      </c>
      <c r="G9" s="40" t="s">
        <v>5</v>
      </c>
      <c r="H9" s="53"/>
      <c r="I9" s="49"/>
    </row>
    <row r="10">
      <c r="A10" s="52" t="s">
        <v>220</v>
      </c>
      <c r="B10" s="40" t="s">
        <v>221</v>
      </c>
      <c r="C10" s="40" t="s">
        <v>222</v>
      </c>
      <c r="D10" s="40" t="s">
        <v>223</v>
      </c>
      <c r="E10" s="40" t="s">
        <v>224</v>
      </c>
      <c r="F10" s="40" t="s">
        <v>31</v>
      </c>
      <c r="G10" s="40" t="s">
        <v>5</v>
      </c>
      <c r="H10" s="53"/>
      <c r="I10" s="49"/>
    </row>
    <row r="11">
      <c r="A11" s="52" t="s">
        <v>225</v>
      </c>
      <c r="B11" s="40" t="s">
        <v>226</v>
      </c>
      <c r="C11" s="40" t="s">
        <v>149</v>
      </c>
      <c r="D11" s="40" t="s">
        <v>227</v>
      </c>
      <c r="E11" s="40" t="s">
        <v>224</v>
      </c>
      <c r="F11" s="40" t="s">
        <v>31</v>
      </c>
      <c r="G11" s="40" t="s">
        <v>5</v>
      </c>
      <c r="H11" s="53"/>
      <c r="I11" s="49"/>
    </row>
    <row r="12">
      <c r="A12" s="52" t="s">
        <v>228</v>
      </c>
      <c r="B12" s="40" t="s">
        <v>229</v>
      </c>
      <c r="C12" s="40" t="s">
        <v>149</v>
      </c>
      <c r="D12" s="40" t="s">
        <v>230</v>
      </c>
      <c r="E12" s="40" t="s">
        <v>224</v>
      </c>
      <c r="F12" s="40" t="s">
        <v>31</v>
      </c>
      <c r="G12" s="40" t="s">
        <v>5</v>
      </c>
      <c r="H12" s="53"/>
      <c r="I12" s="49"/>
    </row>
    <row r="13">
      <c r="A13" s="52" t="s">
        <v>231</v>
      </c>
      <c r="B13" s="40" t="s">
        <v>232</v>
      </c>
      <c r="C13" s="40" t="s">
        <v>149</v>
      </c>
      <c r="D13" s="40" t="s">
        <v>233</v>
      </c>
      <c r="E13" s="40" t="s">
        <v>224</v>
      </c>
      <c r="F13" s="40" t="s">
        <v>31</v>
      </c>
      <c r="G13" s="40" t="s">
        <v>5</v>
      </c>
      <c r="H13" s="53"/>
      <c r="I13" s="49"/>
    </row>
    <row r="14">
      <c r="A14" s="52" t="s">
        <v>234</v>
      </c>
      <c r="B14" s="40" t="s">
        <v>235</v>
      </c>
      <c r="C14" s="40" t="s">
        <v>149</v>
      </c>
      <c r="D14" s="40" t="s">
        <v>236</v>
      </c>
      <c r="E14" s="40" t="s">
        <v>224</v>
      </c>
      <c r="F14" s="40" t="s">
        <v>31</v>
      </c>
      <c r="G14" s="40" t="s">
        <v>5</v>
      </c>
      <c r="H14" s="53"/>
      <c r="I14" s="49"/>
    </row>
  </sheetData>
  <mergeCells count="5">
    <mergeCell ref="C3:C4"/>
    <mergeCell ref="D3:D4"/>
    <mergeCell ref="E3:E4"/>
    <mergeCell ref="F3:F4"/>
    <mergeCell ref="G3:G4"/>
  </mergeCells>
  <dataValidations>
    <dataValidation type="list" allowBlank="1" showErrorMessage="1" sqref="G6:G14">
      <formula1>"PASS,FAIL,Blocked,Not Tested"</formula1>
    </dataValidation>
    <dataValidation type="list" allowBlank="1" showErrorMessage="1" sqref="F6:F14">
      <formula1>"HIGH,MEDIUM,MINOR"</formula1>
    </dataValidation>
  </dataValidations>
  <hyperlinks>
    <hyperlink r:id="rId1" location="Register-a-new-API-client" ref="B2"/>
    <hyperlink r:id="rId2" ref="B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63"/>
    <col customWidth="1" min="2" max="2" width="25.25"/>
    <col customWidth="1" min="3" max="3" width="30.63"/>
    <col customWidth="1" min="4" max="4" width="24.0"/>
    <col customWidth="1" min="5" max="5" width="23.25"/>
    <col customWidth="1" min="6" max="6" width="17.25"/>
  </cols>
  <sheetData>
    <row r="1">
      <c r="A1" s="45" t="s">
        <v>0</v>
      </c>
      <c r="B1" s="46" t="s">
        <v>1</v>
      </c>
      <c r="C1" s="47"/>
      <c r="D1" s="47"/>
      <c r="E1" s="47"/>
      <c r="F1" s="47"/>
      <c r="G1" s="47"/>
      <c r="H1" s="48"/>
      <c r="I1" s="49"/>
    </row>
    <row r="2">
      <c r="A2" s="3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  <c r="H2" s="48"/>
      <c r="I2" s="49"/>
    </row>
    <row r="3">
      <c r="A3" s="32" t="s">
        <v>9</v>
      </c>
      <c r="B3" s="33" t="s">
        <v>10</v>
      </c>
      <c r="C3" s="35">
        <f>SUM(D3:G3)</f>
        <v>9</v>
      </c>
      <c r="D3" s="35">
        <f>COUNTIF(G6:G1001, "Pass")</f>
        <v>9</v>
      </c>
      <c r="E3" s="35">
        <f>COUNTIF(G6:G1001, "Fail")</f>
        <v>0</v>
      </c>
      <c r="F3" s="35">
        <f>COUNTIF(G8:G1001, "BLOCKED")</f>
        <v>0</v>
      </c>
      <c r="G3" s="35">
        <f>COUNTIF(G8:G1001, "NOT TESTED")</f>
        <v>0</v>
      </c>
      <c r="H3" s="48"/>
      <c r="I3" s="49"/>
    </row>
    <row r="4">
      <c r="A4" s="32" t="s">
        <v>11</v>
      </c>
      <c r="B4" s="36" t="s">
        <v>12</v>
      </c>
      <c r="C4" s="9"/>
      <c r="D4" s="9"/>
      <c r="E4" s="9"/>
      <c r="F4" s="9"/>
      <c r="G4" s="9"/>
      <c r="H4" s="48"/>
      <c r="I4" s="49"/>
    </row>
    <row r="5">
      <c r="A5" s="37" t="s">
        <v>13</v>
      </c>
      <c r="B5" s="37" t="s">
        <v>14</v>
      </c>
      <c r="C5" s="37" t="s">
        <v>15</v>
      </c>
      <c r="D5" s="37" t="s">
        <v>16</v>
      </c>
      <c r="E5" s="37" t="s">
        <v>17</v>
      </c>
      <c r="F5" s="37" t="s">
        <v>18</v>
      </c>
      <c r="G5" s="37" t="s">
        <v>19</v>
      </c>
      <c r="H5" s="50" t="s">
        <v>20</v>
      </c>
      <c r="I5" s="51" t="s">
        <v>146</v>
      </c>
    </row>
    <row r="6">
      <c r="A6" s="52" t="s">
        <v>237</v>
      </c>
      <c r="B6" s="40" t="s">
        <v>238</v>
      </c>
      <c r="C6" s="40" t="s">
        <v>149</v>
      </c>
      <c r="D6" s="40" t="s">
        <v>239</v>
      </c>
      <c r="E6" s="40" t="s">
        <v>240</v>
      </c>
      <c r="F6" s="39" t="s">
        <v>31</v>
      </c>
      <c r="G6" s="40" t="s">
        <v>5</v>
      </c>
      <c r="H6" s="53"/>
      <c r="I6" s="49"/>
    </row>
    <row r="7">
      <c r="A7" s="52" t="s">
        <v>241</v>
      </c>
      <c r="B7" s="40" t="s">
        <v>242</v>
      </c>
      <c r="C7" s="40" t="s">
        <v>149</v>
      </c>
      <c r="D7" s="40" t="s">
        <v>239</v>
      </c>
      <c r="E7" s="40" t="s">
        <v>243</v>
      </c>
      <c r="F7" s="39"/>
      <c r="G7" s="40"/>
      <c r="H7" s="53"/>
      <c r="I7" s="49"/>
    </row>
    <row r="8">
      <c r="A8" s="52" t="s">
        <v>244</v>
      </c>
      <c r="B8" s="40" t="s">
        <v>245</v>
      </c>
      <c r="C8" s="40" t="s">
        <v>149</v>
      </c>
      <c r="D8" s="40" t="s">
        <v>246</v>
      </c>
      <c r="E8" s="40" t="s">
        <v>247</v>
      </c>
      <c r="F8" s="39" t="s">
        <v>31</v>
      </c>
      <c r="G8" s="40" t="s">
        <v>5</v>
      </c>
      <c r="H8" s="53"/>
      <c r="I8" s="49"/>
    </row>
    <row r="9">
      <c r="A9" s="52" t="s">
        <v>248</v>
      </c>
      <c r="B9" s="40" t="s">
        <v>249</v>
      </c>
      <c r="C9" s="40" t="s">
        <v>149</v>
      </c>
      <c r="D9" s="40" t="s">
        <v>246</v>
      </c>
      <c r="E9" s="40" t="s">
        <v>250</v>
      </c>
      <c r="F9" s="40" t="s">
        <v>31</v>
      </c>
      <c r="G9" s="40" t="s">
        <v>5</v>
      </c>
      <c r="H9" s="53"/>
      <c r="I9" s="49"/>
    </row>
    <row r="10">
      <c r="A10" s="52" t="s">
        <v>251</v>
      </c>
      <c r="B10" s="40" t="s">
        <v>252</v>
      </c>
      <c r="C10" s="40" t="s">
        <v>149</v>
      </c>
      <c r="D10" s="40" t="s">
        <v>246</v>
      </c>
      <c r="E10" s="40" t="s">
        <v>219</v>
      </c>
      <c r="F10" s="40" t="s">
        <v>31</v>
      </c>
      <c r="G10" s="40" t="s">
        <v>5</v>
      </c>
      <c r="H10" s="53"/>
      <c r="I10" s="49"/>
    </row>
    <row r="11">
      <c r="A11" s="52" t="s">
        <v>253</v>
      </c>
      <c r="B11" s="40" t="s">
        <v>254</v>
      </c>
      <c r="C11" s="40" t="s">
        <v>222</v>
      </c>
      <c r="D11" s="40" t="s">
        <v>246</v>
      </c>
      <c r="E11" s="40" t="s">
        <v>219</v>
      </c>
      <c r="F11" s="40" t="s">
        <v>31</v>
      </c>
      <c r="G11" s="40" t="s">
        <v>5</v>
      </c>
      <c r="H11" s="53"/>
      <c r="I11" s="49"/>
    </row>
    <row r="12">
      <c r="A12" s="52" t="s">
        <v>255</v>
      </c>
      <c r="B12" s="40" t="s">
        <v>256</v>
      </c>
      <c r="C12" s="40" t="s">
        <v>149</v>
      </c>
      <c r="D12" s="40" t="s">
        <v>257</v>
      </c>
      <c r="E12" s="40" t="s">
        <v>194</v>
      </c>
      <c r="F12" s="40" t="s">
        <v>31</v>
      </c>
      <c r="G12" s="40" t="s">
        <v>5</v>
      </c>
      <c r="H12" s="53"/>
      <c r="I12" s="49"/>
    </row>
    <row r="13">
      <c r="A13" s="52" t="s">
        <v>258</v>
      </c>
      <c r="B13" s="40" t="s">
        <v>259</v>
      </c>
      <c r="C13" s="40" t="s">
        <v>149</v>
      </c>
      <c r="D13" s="40" t="s">
        <v>260</v>
      </c>
      <c r="E13" s="40" t="s">
        <v>194</v>
      </c>
      <c r="F13" s="40" t="s">
        <v>31</v>
      </c>
      <c r="G13" s="40" t="s">
        <v>5</v>
      </c>
      <c r="H13" s="53"/>
      <c r="I13" s="49"/>
    </row>
    <row r="14">
      <c r="A14" s="52" t="s">
        <v>261</v>
      </c>
      <c r="B14" s="40" t="s">
        <v>262</v>
      </c>
      <c r="C14" s="40" t="s">
        <v>149</v>
      </c>
      <c r="D14" s="40" t="s">
        <v>263</v>
      </c>
      <c r="E14" s="40" t="s">
        <v>194</v>
      </c>
      <c r="F14" s="40" t="s">
        <v>31</v>
      </c>
      <c r="G14" s="40" t="s">
        <v>5</v>
      </c>
      <c r="H14" s="53"/>
      <c r="I14" s="49"/>
    </row>
    <row r="15">
      <c r="A15" s="52" t="s">
        <v>264</v>
      </c>
      <c r="B15" s="40" t="s">
        <v>265</v>
      </c>
      <c r="C15" s="40" t="s">
        <v>149</v>
      </c>
      <c r="D15" s="40" t="s">
        <v>266</v>
      </c>
      <c r="E15" s="40" t="s">
        <v>194</v>
      </c>
      <c r="F15" s="40" t="s">
        <v>31</v>
      </c>
      <c r="G15" s="40" t="s">
        <v>5</v>
      </c>
      <c r="H15" s="53"/>
      <c r="I15" s="49"/>
    </row>
  </sheetData>
  <mergeCells count="5">
    <mergeCell ref="C3:C4"/>
    <mergeCell ref="D3:D4"/>
    <mergeCell ref="E3:E4"/>
    <mergeCell ref="F3:F4"/>
    <mergeCell ref="G3:G4"/>
  </mergeCells>
  <dataValidations>
    <dataValidation type="list" allowBlank="1" showErrorMessage="1" sqref="G6:G15">
      <formula1>"PASS,FAIL,Blocked,Not Tested"</formula1>
    </dataValidation>
    <dataValidation type="list" allowBlank="1" showErrorMessage="1" sqref="F6:F15">
      <formula1>"HIGH,MEDIUM,MINOR"</formula1>
    </dataValidation>
  </dataValidations>
  <hyperlinks>
    <hyperlink r:id="rId1" location="Register-a-new-API-client" ref="B2"/>
    <hyperlink r:id="rId2" ref="B3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  <col customWidth="1" min="2" max="2" width="23.0"/>
    <col customWidth="1" min="3" max="3" width="27.63"/>
    <col customWidth="1" min="4" max="4" width="27.0"/>
    <col customWidth="1" min="5" max="5" width="24.75"/>
    <col customWidth="1" min="6" max="6" width="19.88"/>
    <col customWidth="1" min="7" max="7" width="17.0"/>
    <col customWidth="1" min="8" max="8" width="16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3"/>
    </row>
    <row r="3">
      <c r="A3" s="4" t="s">
        <v>9</v>
      </c>
      <c r="B3" s="5" t="s">
        <v>10</v>
      </c>
      <c r="C3" s="7">
        <f>SUM(D3:G3)</f>
        <v>60</v>
      </c>
      <c r="D3" s="7">
        <f>COUNTIF(G7:G1016, "Pass")</f>
        <v>15</v>
      </c>
      <c r="E3" s="7">
        <f>COUNTIF(G7:G1016, "Pass")</f>
        <v>15</v>
      </c>
      <c r="F3" s="7">
        <f>COUNTIF(G7:G1016, "Pass")</f>
        <v>15</v>
      </c>
      <c r="G3" s="7">
        <f>COUNTIF(G7:G1016, "Pass")</f>
        <v>15</v>
      </c>
      <c r="H3" s="3"/>
    </row>
    <row r="4">
      <c r="A4" s="4" t="s">
        <v>11</v>
      </c>
      <c r="B4" s="8" t="s">
        <v>12</v>
      </c>
      <c r="C4" s="9"/>
      <c r="D4" s="9"/>
      <c r="E4" s="9"/>
      <c r="F4" s="9"/>
      <c r="G4" s="9"/>
      <c r="H4" s="3"/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20</v>
      </c>
    </row>
    <row r="6">
      <c r="A6" s="54" t="s">
        <v>267</v>
      </c>
      <c r="B6" s="55" t="s">
        <v>268</v>
      </c>
      <c r="C6" s="24" t="s">
        <v>37</v>
      </c>
      <c r="D6" s="56" t="s">
        <v>269</v>
      </c>
      <c r="E6" s="55" t="s">
        <v>270</v>
      </c>
      <c r="F6" s="57" t="s">
        <v>31</v>
      </c>
      <c r="G6" s="56" t="s">
        <v>5</v>
      </c>
      <c r="H6" s="57"/>
    </row>
    <row r="7">
      <c r="A7" s="54" t="s">
        <v>271</v>
      </c>
      <c r="B7" s="55" t="s">
        <v>272</v>
      </c>
      <c r="C7" s="58" t="s">
        <v>37</v>
      </c>
      <c r="D7" s="56" t="s">
        <v>273</v>
      </c>
      <c r="E7" s="55" t="s">
        <v>274</v>
      </c>
      <c r="F7" s="57" t="s">
        <v>31</v>
      </c>
      <c r="G7" s="56" t="s">
        <v>5</v>
      </c>
      <c r="H7" s="57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>
      <c r="A8" s="54" t="s">
        <v>275</v>
      </c>
      <c r="B8" s="55" t="s">
        <v>276</v>
      </c>
      <c r="C8" s="58" t="s">
        <v>37</v>
      </c>
      <c r="D8" s="56" t="s">
        <v>277</v>
      </c>
      <c r="E8" s="55" t="s">
        <v>278</v>
      </c>
      <c r="F8" s="57"/>
      <c r="G8" s="56"/>
      <c r="H8" s="57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>
      <c r="A9" s="54" t="s">
        <v>279</v>
      </c>
      <c r="B9" s="27" t="s">
        <v>280</v>
      </c>
      <c r="C9" s="58" t="s">
        <v>37</v>
      </c>
      <c r="D9" s="56" t="s">
        <v>281</v>
      </c>
      <c r="E9" s="55" t="s">
        <v>282</v>
      </c>
      <c r="F9" s="57"/>
      <c r="G9" s="56"/>
      <c r="H9" s="57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>
      <c r="A10" s="54" t="s">
        <v>283</v>
      </c>
      <c r="B10" s="55" t="s">
        <v>284</v>
      </c>
      <c r="C10" s="24" t="s">
        <v>37</v>
      </c>
      <c r="D10" s="56" t="s">
        <v>285</v>
      </c>
      <c r="E10" s="55" t="s">
        <v>286</v>
      </c>
      <c r="F10" s="57" t="s">
        <v>31</v>
      </c>
      <c r="G10" s="57" t="s">
        <v>6</v>
      </c>
      <c r="H10" s="2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>
      <c r="A11" s="54" t="s">
        <v>287</v>
      </c>
      <c r="B11" s="55" t="s">
        <v>288</v>
      </c>
      <c r="C11" s="24" t="s">
        <v>37</v>
      </c>
      <c r="D11" s="56" t="s">
        <v>289</v>
      </c>
      <c r="E11" s="55" t="s">
        <v>286</v>
      </c>
      <c r="F11" s="2" t="s">
        <v>31</v>
      </c>
      <c r="G11" s="57" t="s">
        <v>5</v>
      </c>
      <c r="H11" s="2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>
      <c r="A12" s="54" t="s">
        <v>290</v>
      </c>
      <c r="B12" s="55" t="s">
        <v>291</v>
      </c>
      <c r="C12" s="24" t="s">
        <v>37</v>
      </c>
      <c r="D12" s="56" t="s">
        <v>289</v>
      </c>
      <c r="E12" s="55" t="s">
        <v>292</v>
      </c>
      <c r="F12" s="2" t="s">
        <v>31</v>
      </c>
      <c r="G12" s="56" t="s">
        <v>5</v>
      </c>
      <c r="H12" s="2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>
      <c r="A13" s="54" t="s">
        <v>293</v>
      </c>
      <c r="B13" s="55" t="s">
        <v>294</v>
      </c>
      <c r="C13" s="24" t="s">
        <v>37</v>
      </c>
      <c r="D13" s="56" t="s">
        <v>295</v>
      </c>
      <c r="E13" s="55" t="s">
        <v>296</v>
      </c>
      <c r="F13" s="2" t="s">
        <v>31</v>
      </c>
      <c r="G13" s="56" t="s">
        <v>5</v>
      </c>
      <c r="H13" s="2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>
      <c r="A14" s="54" t="s">
        <v>297</v>
      </c>
      <c r="B14" s="55" t="s">
        <v>298</v>
      </c>
      <c r="C14" s="24" t="s">
        <v>37</v>
      </c>
      <c r="D14" s="56" t="s">
        <v>299</v>
      </c>
      <c r="E14" s="55" t="s">
        <v>300</v>
      </c>
      <c r="F14" s="2" t="s">
        <v>31</v>
      </c>
      <c r="G14" s="56" t="s">
        <v>5</v>
      </c>
      <c r="H14" s="2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>
      <c r="A15" s="54" t="s">
        <v>301</v>
      </c>
      <c r="B15" s="55" t="s">
        <v>302</v>
      </c>
      <c r="C15" s="24" t="s">
        <v>37</v>
      </c>
      <c r="D15" s="56" t="s">
        <v>303</v>
      </c>
      <c r="E15" s="55" t="s">
        <v>304</v>
      </c>
      <c r="F15" s="2" t="s">
        <v>31</v>
      </c>
      <c r="G15" s="56" t="s">
        <v>5</v>
      </c>
      <c r="H15" s="22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54" t="s">
        <v>305</v>
      </c>
      <c r="B16" s="59" t="s">
        <v>306</v>
      </c>
      <c r="C16" s="24" t="s">
        <v>37</v>
      </c>
      <c r="D16" s="56" t="s">
        <v>307</v>
      </c>
      <c r="E16" s="55" t="s">
        <v>270</v>
      </c>
      <c r="F16" s="2" t="s">
        <v>31</v>
      </c>
      <c r="G16" s="56" t="s">
        <v>6</v>
      </c>
      <c r="H16" s="60" t="s">
        <v>308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54" t="s">
        <v>309</v>
      </c>
      <c r="B17" s="59" t="s">
        <v>310</v>
      </c>
      <c r="C17" s="24" t="s">
        <v>37</v>
      </c>
      <c r="D17" s="56" t="s">
        <v>311</v>
      </c>
      <c r="E17" s="55" t="s">
        <v>312</v>
      </c>
      <c r="F17" s="2" t="s">
        <v>31</v>
      </c>
      <c r="G17" s="56" t="s">
        <v>6</v>
      </c>
      <c r="H17" s="60" t="s">
        <v>313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54" t="s">
        <v>314</v>
      </c>
      <c r="B18" s="59" t="s">
        <v>315</v>
      </c>
      <c r="C18" s="24" t="s">
        <v>37</v>
      </c>
      <c r="D18" s="61" t="s">
        <v>316</v>
      </c>
      <c r="E18" s="55" t="s">
        <v>317</v>
      </c>
      <c r="F18" s="2"/>
      <c r="G18" s="56"/>
      <c r="H18" s="60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>
      <c r="A19" s="54" t="s">
        <v>318</v>
      </c>
      <c r="B19" s="59" t="s">
        <v>319</v>
      </c>
      <c r="C19" s="24" t="s">
        <v>37</v>
      </c>
      <c r="D19" s="56" t="s">
        <v>320</v>
      </c>
      <c r="E19" s="55" t="s">
        <v>321</v>
      </c>
      <c r="F19" s="2" t="s">
        <v>31</v>
      </c>
      <c r="G19" s="56" t="s">
        <v>5</v>
      </c>
      <c r="H19" s="60"/>
      <c r="I19" s="15"/>
      <c r="J19" s="15"/>
      <c r="K19" s="15"/>
      <c r="L19" s="15"/>
      <c r="M19" s="62" t="s">
        <v>322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>
      <c r="A20" s="54" t="s">
        <v>323</v>
      </c>
      <c r="B20" s="59" t="s">
        <v>324</v>
      </c>
      <c r="C20" s="24" t="s">
        <v>37</v>
      </c>
      <c r="D20" s="56" t="s">
        <v>325</v>
      </c>
      <c r="E20" s="55" t="s">
        <v>326</v>
      </c>
      <c r="F20" s="2" t="s">
        <v>31</v>
      </c>
      <c r="G20" s="56" t="s">
        <v>5</v>
      </c>
      <c r="H20" s="60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>
      <c r="A21" s="54" t="s">
        <v>327</v>
      </c>
      <c r="B21" s="55" t="s">
        <v>328</v>
      </c>
      <c r="C21" s="24" t="s">
        <v>37</v>
      </c>
      <c r="D21" s="56" t="s">
        <v>329</v>
      </c>
      <c r="E21" s="55" t="s">
        <v>330</v>
      </c>
      <c r="F21" s="2" t="s">
        <v>31</v>
      </c>
      <c r="G21" s="56" t="s">
        <v>5</v>
      </c>
      <c r="H21" s="22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>
      <c r="A22" s="54" t="s">
        <v>331</v>
      </c>
      <c r="B22" s="55" t="s">
        <v>332</v>
      </c>
      <c r="C22" s="24" t="s">
        <v>37</v>
      </c>
      <c r="D22" s="56" t="s">
        <v>333</v>
      </c>
      <c r="E22" s="55" t="s">
        <v>334</v>
      </c>
      <c r="F22" s="2" t="s">
        <v>31</v>
      </c>
      <c r="G22" s="56" t="s">
        <v>5</v>
      </c>
      <c r="H22" s="22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>
      <c r="A23" s="54" t="s">
        <v>335</v>
      </c>
      <c r="B23" s="55" t="s">
        <v>336</v>
      </c>
      <c r="C23" s="24" t="s">
        <v>37</v>
      </c>
      <c r="D23" s="56" t="s">
        <v>337</v>
      </c>
      <c r="E23" s="55" t="s">
        <v>338</v>
      </c>
      <c r="F23" s="2" t="s">
        <v>31</v>
      </c>
      <c r="G23" s="56" t="s">
        <v>5</v>
      </c>
      <c r="H23" s="22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>
      <c r="A24" s="54" t="s">
        <v>339</v>
      </c>
      <c r="B24" s="55" t="s">
        <v>340</v>
      </c>
      <c r="C24" s="24" t="s">
        <v>37</v>
      </c>
      <c r="D24" s="56" t="s">
        <v>341</v>
      </c>
      <c r="E24" s="55" t="s">
        <v>338</v>
      </c>
      <c r="F24" s="2" t="s">
        <v>31</v>
      </c>
      <c r="G24" s="56" t="s">
        <v>5</v>
      </c>
      <c r="H24" s="22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>
      <c r="A25" s="54" t="s">
        <v>342</v>
      </c>
      <c r="B25" s="55" t="s">
        <v>343</v>
      </c>
      <c r="C25" s="24" t="s">
        <v>37</v>
      </c>
      <c r="D25" s="56" t="s">
        <v>344</v>
      </c>
      <c r="E25" s="55" t="s">
        <v>338</v>
      </c>
      <c r="F25" s="2" t="s">
        <v>31</v>
      </c>
      <c r="G25" s="56" t="s">
        <v>5</v>
      </c>
      <c r="H25" s="22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>
      <c r="A26" s="54" t="s">
        <v>345</v>
      </c>
      <c r="B26" s="55" t="s">
        <v>346</v>
      </c>
      <c r="C26" s="24" t="s">
        <v>37</v>
      </c>
      <c r="D26" s="56" t="s">
        <v>347</v>
      </c>
      <c r="E26" s="55" t="s">
        <v>338</v>
      </c>
      <c r="F26" s="2" t="s">
        <v>31</v>
      </c>
      <c r="G26" s="56" t="s">
        <v>5</v>
      </c>
      <c r="H26" s="22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>
      <c r="A27" s="54" t="s">
        <v>348</v>
      </c>
      <c r="B27" s="55" t="s">
        <v>349</v>
      </c>
      <c r="C27" s="24" t="s">
        <v>37</v>
      </c>
      <c r="D27" s="56" t="s">
        <v>350</v>
      </c>
      <c r="E27" s="55" t="s">
        <v>338</v>
      </c>
      <c r="F27" s="2" t="s">
        <v>31</v>
      </c>
      <c r="G27" s="56" t="s">
        <v>5</v>
      </c>
      <c r="H27" s="22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>
      <c r="A28" s="26"/>
    </row>
    <row r="29">
      <c r="A29" s="61" t="s">
        <v>351</v>
      </c>
      <c r="B29" s="63"/>
      <c r="C29" s="63"/>
      <c r="D29" s="63"/>
    </row>
    <row r="30">
      <c r="A30" s="63"/>
      <c r="B30" s="61" t="s">
        <v>322</v>
      </c>
      <c r="C30" s="61" t="s">
        <v>352</v>
      </c>
      <c r="D30" s="61" t="s">
        <v>353</v>
      </c>
      <c r="E30" s="28"/>
      <c r="F30" s="28"/>
      <c r="G30" s="28"/>
    </row>
    <row r="31">
      <c r="A31" s="61" t="s">
        <v>322</v>
      </c>
      <c r="B31" s="61" t="s">
        <v>354</v>
      </c>
      <c r="C31" s="61">
        <v>1.0</v>
      </c>
      <c r="D31" s="61">
        <v>1.0</v>
      </c>
      <c r="E31" s="28"/>
      <c r="F31" s="28"/>
      <c r="G31" s="28"/>
    </row>
    <row r="32">
      <c r="A32" s="61" t="s">
        <v>352</v>
      </c>
      <c r="B32" s="61" t="s">
        <v>355</v>
      </c>
      <c r="C32" s="61" t="s">
        <v>354</v>
      </c>
      <c r="D32" s="61">
        <v>1.0</v>
      </c>
      <c r="E32" s="28"/>
      <c r="F32" s="28"/>
      <c r="G32" s="28"/>
    </row>
    <row r="33">
      <c r="A33" s="61" t="s">
        <v>353</v>
      </c>
      <c r="B33" s="61">
        <v>1.0</v>
      </c>
      <c r="C33" s="61">
        <v>1.0</v>
      </c>
      <c r="D33" s="61" t="s">
        <v>354</v>
      </c>
      <c r="E33" s="28"/>
      <c r="F33" s="28"/>
      <c r="G33" s="28"/>
    </row>
    <row r="34">
      <c r="A34" s="64"/>
      <c r="B34" s="28"/>
      <c r="C34" s="28"/>
      <c r="D34" s="28"/>
      <c r="E34" s="28"/>
      <c r="F34" s="28"/>
      <c r="G34" s="28"/>
    </row>
    <row r="35">
      <c r="A35" s="28"/>
      <c r="B35" s="28"/>
      <c r="C35" s="28"/>
      <c r="D35" s="28"/>
      <c r="E35" s="28"/>
      <c r="F35" s="28"/>
      <c r="G35" s="28"/>
    </row>
    <row r="36">
      <c r="A36" s="28"/>
      <c r="B36" s="28"/>
      <c r="C36" s="28"/>
      <c r="D36" s="28"/>
      <c r="E36" s="28"/>
      <c r="F36" s="28"/>
      <c r="G36" s="28"/>
    </row>
    <row r="37">
      <c r="A37" s="28"/>
      <c r="B37" s="28"/>
      <c r="C37" s="28"/>
      <c r="D37" s="28"/>
      <c r="E37" s="28"/>
      <c r="F37" s="28"/>
      <c r="G37" s="28"/>
    </row>
    <row r="38">
      <c r="A38" s="28"/>
      <c r="B38" s="28"/>
      <c r="C38" s="28"/>
      <c r="D38" s="28"/>
      <c r="E38" s="28"/>
      <c r="F38" s="28"/>
      <c r="G38" s="28"/>
    </row>
    <row r="39">
      <c r="A39" s="28"/>
      <c r="B39" s="28"/>
      <c r="C39" s="28"/>
      <c r="D39" s="28"/>
      <c r="E39" s="28"/>
      <c r="F39" s="28"/>
      <c r="G39" s="28"/>
    </row>
  </sheetData>
  <mergeCells count="5">
    <mergeCell ref="C3:C4"/>
    <mergeCell ref="D3:D4"/>
    <mergeCell ref="E3:E4"/>
    <mergeCell ref="F3:F4"/>
    <mergeCell ref="G3:G4"/>
  </mergeCells>
  <dataValidations>
    <dataValidation type="list" allowBlank="1" showErrorMessage="1" sqref="G6:G27">
      <formula1>"PASS,FAIL,Blocked,Not Tested"</formula1>
    </dataValidation>
    <dataValidation type="list" allowBlank="1" showErrorMessage="1" sqref="F6:F27">
      <formula1>"HIGH,MEDIUM,MINOR"</formula1>
    </dataValidation>
  </dataValidations>
  <hyperlinks>
    <hyperlink r:id="rId1" location="Register-a-new-API-client" ref="B2"/>
    <hyperlink r:id="rId2" ref="B3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63"/>
    <col customWidth="1" min="2" max="2" width="29.0"/>
    <col customWidth="1" min="3" max="3" width="29.75"/>
    <col customWidth="1" min="4" max="4" width="18.75"/>
    <col customWidth="1" min="5" max="5" width="27.13"/>
    <col customWidth="1" min="6" max="6" width="15.5"/>
    <col customWidth="1" min="7" max="7" width="11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3"/>
    </row>
    <row r="3">
      <c r="A3" s="4" t="s">
        <v>9</v>
      </c>
      <c r="B3" s="5" t="s">
        <v>10</v>
      </c>
      <c r="C3" s="7">
        <f>SUM(D3:G3)</f>
        <v>16</v>
      </c>
      <c r="D3" s="7">
        <f>COUNTIF(G6:G1001, "Pass")</f>
        <v>16</v>
      </c>
      <c r="E3" s="7">
        <f>COUNTIF(G7:G1001, "fail")</f>
        <v>0</v>
      </c>
      <c r="F3" s="7">
        <f>COUNTIF(G7:G1001, "blocked")</f>
        <v>0</v>
      </c>
      <c r="G3" s="7">
        <f>COUNTIF(G7:G1001, "not tested")</f>
        <v>0</v>
      </c>
      <c r="H3" s="3"/>
    </row>
    <row r="4">
      <c r="A4" s="4" t="s">
        <v>11</v>
      </c>
      <c r="B4" s="8" t="s">
        <v>12</v>
      </c>
      <c r="C4" s="9"/>
      <c r="D4" s="9"/>
      <c r="E4" s="9"/>
      <c r="F4" s="9"/>
      <c r="G4" s="9"/>
      <c r="H4" s="3"/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20</v>
      </c>
    </row>
    <row r="6">
      <c r="A6" s="59" t="s">
        <v>356</v>
      </c>
      <c r="B6" s="59" t="s">
        <v>357</v>
      </c>
      <c r="C6" s="59" t="s">
        <v>358</v>
      </c>
      <c r="D6" s="59" t="s">
        <v>359</v>
      </c>
      <c r="E6" s="59" t="s">
        <v>360</v>
      </c>
      <c r="F6" s="59" t="s">
        <v>55</v>
      </c>
      <c r="G6" s="59" t="s">
        <v>361</v>
      </c>
      <c r="H6" s="63"/>
    </row>
    <row r="7">
      <c r="A7" s="59" t="s">
        <v>362</v>
      </c>
      <c r="B7" s="59" t="s">
        <v>363</v>
      </c>
      <c r="C7" s="59" t="s">
        <v>358</v>
      </c>
      <c r="D7" s="59" t="s">
        <v>364</v>
      </c>
      <c r="E7" s="59" t="s">
        <v>365</v>
      </c>
      <c r="F7" s="59" t="s">
        <v>55</v>
      </c>
      <c r="G7" s="59" t="s">
        <v>361</v>
      </c>
      <c r="H7" s="63"/>
    </row>
    <row r="8">
      <c r="A8" s="59" t="s">
        <v>366</v>
      </c>
      <c r="B8" s="59" t="s">
        <v>367</v>
      </c>
      <c r="C8" s="59" t="s">
        <v>358</v>
      </c>
      <c r="D8" s="59" t="s">
        <v>364</v>
      </c>
      <c r="E8" s="59" t="s">
        <v>368</v>
      </c>
      <c r="F8" s="59" t="s">
        <v>55</v>
      </c>
      <c r="G8" s="59" t="s">
        <v>361</v>
      </c>
      <c r="H8" s="63"/>
    </row>
    <row r="9">
      <c r="A9" s="59" t="s">
        <v>369</v>
      </c>
      <c r="B9" s="59" t="s">
        <v>370</v>
      </c>
      <c r="C9" s="59" t="s">
        <v>371</v>
      </c>
      <c r="D9" s="59" t="s">
        <v>269</v>
      </c>
      <c r="E9" s="59" t="s">
        <v>372</v>
      </c>
      <c r="F9" s="59" t="s">
        <v>55</v>
      </c>
      <c r="G9" s="59" t="s">
        <v>361</v>
      </c>
      <c r="H9" s="63"/>
    </row>
    <row r="10">
      <c r="A10" s="59" t="s">
        <v>373</v>
      </c>
      <c r="B10" s="59" t="s">
        <v>336</v>
      </c>
      <c r="C10" s="59" t="s">
        <v>371</v>
      </c>
      <c r="D10" s="59" t="s">
        <v>337</v>
      </c>
      <c r="E10" s="59" t="s">
        <v>374</v>
      </c>
      <c r="F10" s="59" t="s">
        <v>55</v>
      </c>
      <c r="G10" s="59" t="s">
        <v>361</v>
      </c>
      <c r="H10" s="63"/>
    </row>
    <row r="11">
      <c r="A11" s="59" t="s">
        <v>375</v>
      </c>
      <c r="B11" s="59" t="s">
        <v>376</v>
      </c>
      <c r="C11" s="59" t="s">
        <v>377</v>
      </c>
      <c r="D11" s="59" t="s">
        <v>378</v>
      </c>
      <c r="E11" s="59" t="s">
        <v>379</v>
      </c>
      <c r="F11" s="59" t="s">
        <v>55</v>
      </c>
      <c r="G11" s="59" t="s">
        <v>361</v>
      </c>
      <c r="H11" s="63"/>
    </row>
    <row r="12">
      <c r="A12" s="59" t="s">
        <v>380</v>
      </c>
      <c r="B12" s="59" t="s">
        <v>381</v>
      </c>
      <c r="C12" s="59" t="s">
        <v>371</v>
      </c>
      <c r="D12" s="59" t="s">
        <v>382</v>
      </c>
      <c r="E12" s="59" t="s">
        <v>383</v>
      </c>
      <c r="F12" s="59" t="s">
        <v>55</v>
      </c>
      <c r="G12" s="59" t="s">
        <v>361</v>
      </c>
      <c r="H12" s="63"/>
    </row>
    <row r="13">
      <c r="A13" s="59" t="s">
        <v>384</v>
      </c>
      <c r="B13" s="59" t="s">
        <v>385</v>
      </c>
      <c r="C13" s="59" t="s">
        <v>371</v>
      </c>
      <c r="D13" s="59" t="s">
        <v>386</v>
      </c>
      <c r="E13" s="59" t="s">
        <v>387</v>
      </c>
      <c r="F13" s="59" t="s">
        <v>55</v>
      </c>
      <c r="G13" s="59" t="s">
        <v>361</v>
      </c>
      <c r="H13" s="63"/>
    </row>
    <row r="14">
      <c r="A14" s="59" t="s">
        <v>388</v>
      </c>
      <c r="B14" s="59" t="s">
        <v>389</v>
      </c>
      <c r="C14" s="59" t="s">
        <v>377</v>
      </c>
      <c r="D14" s="59" t="s">
        <v>390</v>
      </c>
      <c r="E14" s="59" t="s">
        <v>391</v>
      </c>
      <c r="F14" s="59" t="s">
        <v>55</v>
      </c>
      <c r="G14" s="59" t="s">
        <v>361</v>
      </c>
      <c r="H14" s="63"/>
    </row>
    <row r="15">
      <c r="A15" s="59" t="s">
        <v>392</v>
      </c>
      <c r="B15" s="59" t="s">
        <v>393</v>
      </c>
      <c r="C15" s="59" t="s">
        <v>377</v>
      </c>
      <c r="D15" s="59" t="s">
        <v>325</v>
      </c>
      <c r="E15" s="59" t="s">
        <v>394</v>
      </c>
      <c r="F15" s="59" t="s">
        <v>55</v>
      </c>
      <c r="G15" s="61" t="s">
        <v>395</v>
      </c>
      <c r="H15" s="59" t="s">
        <v>396</v>
      </c>
    </row>
    <row r="16">
      <c r="A16" s="59" t="s">
        <v>397</v>
      </c>
      <c r="B16" s="59" t="s">
        <v>398</v>
      </c>
      <c r="C16" s="59" t="s">
        <v>377</v>
      </c>
      <c r="D16" s="59" t="s">
        <v>399</v>
      </c>
      <c r="E16" s="59" t="s">
        <v>400</v>
      </c>
      <c r="F16" s="59" t="s">
        <v>55</v>
      </c>
      <c r="G16" s="59" t="s">
        <v>5</v>
      </c>
      <c r="H16" s="63"/>
    </row>
    <row r="17">
      <c r="A17" s="59" t="s">
        <v>401</v>
      </c>
      <c r="B17" s="59" t="s">
        <v>402</v>
      </c>
      <c r="C17" s="59" t="s">
        <v>377</v>
      </c>
      <c r="D17" s="59" t="s">
        <v>403</v>
      </c>
      <c r="E17" s="59" t="s">
        <v>404</v>
      </c>
      <c r="F17" s="59" t="s">
        <v>55</v>
      </c>
      <c r="G17" s="59" t="s">
        <v>405</v>
      </c>
      <c r="H17" s="63"/>
    </row>
    <row r="18">
      <c r="A18" s="59" t="s">
        <v>406</v>
      </c>
      <c r="B18" s="59" t="s">
        <v>407</v>
      </c>
      <c r="C18" s="59" t="s">
        <v>377</v>
      </c>
      <c r="D18" s="59" t="s">
        <v>408</v>
      </c>
      <c r="E18" s="59" t="s">
        <v>404</v>
      </c>
      <c r="F18" s="59" t="s">
        <v>55</v>
      </c>
      <c r="G18" s="59" t="s">
        <v>405</v>
      </c>
      <c r="H18" s="63"/>
    </row>
    <row r="19">
      <c r="A19" s="59" t="s">
        <v>409</v>
      </c>
      <c r="B19" s="59" t="s">
        <v>343</v>
      </c>
      <c r="C19" s="59" t="s">
        <v>377</v>
      </c>
      <c r="D19" s="59" t="s">
        <v>410</v>
      </c>
      <c r="E19" s="59" t="s">
        <v>404</v>
      </c>
      <c r="F19" s="59" t="s">
        <v>55</v>
      </c>
      <c r="G19" s="59" t="s">
        <v>405</v>
      </c>
      <c r="H19" s="63"/>
    </row>
    <row r="20">
      <c r="A20" s="59" t="s">
        <v>411</v>
      </c>
      <c r="B20" s="59" t="s">
        <v>340</v>
      </c>
      <c r="C20" s="59" t="s">
        <v>377</v>
      </c>
      <c r="D20" s="59" t="s">
        <v>412</v>
      </c>
      <c r="E20" s="59" t="s">
        <v>404</v>
      </c>
      <c r="F20" s="59" t="s">
        <v>55</v>
      </c>
      <c r="G20" s="59" t="s">
        <v>405</v>
      </c>
      <c r="H20" s="63"/>
    </row>
    <row r="21">
      <c r="A21" s="59" t="s">
        <v>413</v>
      </c>
      <c r="B21" s="59" t="s">
        <v>346</v>
      </c>
      <c r="C21" s="59" t="s">
        <v>377</v>
      </c>
      <c r="D21" s="59" t="s">
        <v>414</v>
      </c>
      <c r="E21" s="59" t="s">
        <v>404</v>
      </c>
      <c r="F21" s="59" t="s">
        <v>55</v>
      </c>
      <c r="G21" s="59" t="s">
        <v>405</v>
      </c>
      <c r="H21" s="63"/>
    </row>
    <row r="22">
      <c r="A22" s="59" t="s">
        <v>415</v>
      </c>
      <c r="B22" s="59" t="s">
        <v>416</v>
      </c>
      <c r="C22" s="59" t="s">
        <v>377</v>
      </c>
      <c r="D22" s="59" t="s">
        <v>417</v>
      </c>
      <c r="E22" s="59" t="s">
        <v>404</v>
      </c>
      <c r="F22" s="59" t="s">
        <v>55</v>
      </c>
      <c r="G22" s="59" t="s">
        <v>405</v>
      </c>
      <c r="H22" s="63"/>
    </row>
    <row r="23">
      <c r="A23" s="28"/>
      <c r="B23" s="28"/>
      <c r="C23" s="28"/>
      <c r="D23" s="28"/>
      <c r="E23" s="28"/>
      <c r="F23" s="28"/>
      <c r="G23" s="28"/>
    </row>
  </sheetData>
  <mergeCells count="5">
    <mergeCell ref="C3:C4"/>
    <mergeCell ref="D3:D4"/>
    <mergeCell ref="E3:E4"/>
    <mergeCell ref="F3:F4"/>
    <mergeCell ref="G3:G4"/>
  </mergeCells>
  <hyperlinks>
    <hyperlink r:id="rId1" location="Register-a-new-API-client" ref="B2"/>
    <hyperlink r:id="rId2" ref="B3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13"/>
    <col customWidth="1" min="2" max="2" width="26.75"/>
    <col customWidth="1" min="3" max="3" width="28.63"/>
    <col customWidth="1" min="4" max="4" width="31.88"/>
    <col customWidth="1" min="5" max="5" width="23.88"/>
    <col customWidth="1" min="6" max="6" width="18.13"/>
    <col customWidth="1" min="7" max="7" width="17.5"/>
    <col customWidth="1" min="8" max="8" width="22.38"/>
  </cols>
  <sheetData>
    <row r="1">
      <c r="A1" s="45" t="s">
        <v>0</v>
      </c>
      <c r="B1" s="46" t="s">
        <v>1</v>
      </c>
      <c r="C1" s="47"/>
      <c r="D1" s="47"/>
      <c r="E1" s="47"/>
      <c r="F1" s="47"/>
      <c r="G1" s="47"/>
      <c r="H1" s="48"/>
      <c r="I1" s="49"/>
    </row>
    <row r="2">
      <c r="A2" s="3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  <c r="H2" s="48"/>
      <c r="I2" s="49"/>
    </row>
    <row r="3">
      <c r="A3" s="32" t="s">
        <v>9</v>
      </c>
      <c r="B3" s="33" t="s">
        <v>10</v>
      </c>
      <c r="C3" s="35">
        <f>SUM(D3:G3)</f>
        <v>18</v>
      </c>
      <c r="D3" s="35">
        <f>COUNTIF(G6:G990, "Pass")</f>
        <v>16</v>
      </c>
      <c r="E3" s="35">
        <f>COUNTIF(G6:G990, "Fail")</f>
        <v>2</v>
      </c>
      <c r="F3" s="35">
        <f>COUNTIF(G7:G990, "BLOCKED")</f>
        <v>0</v>
      </c>
      <c r="G3" s="35">
        <f>COUNTIF(G7:G990, "NOT TESTED")</f>
        <v>0</v>
      </c>
      <c r="H3" s="48"/>
      <c r="I3" s="49"/>
    </row>
    <row r="4">
      <c r="A4" s="32" t="s">
        <v>11</v>
      </c>
      <c r="B4" s="36" t="s">
        <v>12</v>
      </c>
      <c r="C4" s="9"/>
      <c r="D4" s="9"/>
      <c r="E4" s="9"/>
      <c r="F4" s="9"/>
      <c r="G4" s="9"/>
      <c r="H4" s="48"/>
      <c r="I4" s="49"/>
    </row>
    <row r="5">
      <c r="A5" s="37" t="s">
        <v>13</v>
      </c>
      <c r="B5" s="37" t="s">
        <v>14</v>
      </c>
      <c r="C5" s="37" t="s">
        <v>15</v>
      </c>
      <c r="D5" s="37" t="s">
        <v>16</v>
      </c>
      <c r="E5" s="37" t="s">
        <v>17</v>
      </c>
      <c r="F5" s="37" t="s">
        <v>18</v>
      </c>
      <c r="G5" s="37" t="s">
        <v>19</v>
      </c>
      <c r="H5" s="50" t="s">
        <v>20</v>
      </c>
      <c r="I5" s="51" t="s">
        <v>146</v>
      </c>
    </row>
    <row r="6">
      <c r="A6" s="52" t="s">
        <v>418</v>
      </c>
      <c r="B6" s="40" t="s">
        <v>419</v>
      </c>
      <c r="C6" s="40" t="s">
        <v>420</v>
      </c>
      <c r="D6" s="40" t="s">
        <v>421</v>
      </c>
      <c r="E6" s="40" t="s">
        <v>422</v>
      </c>
      <c r="F6" s="39" t="s">
        <v>31</v>
      </c>
      <c r="G6" s="40" t="s">
        <v>5</v>
      </c>
      <c r="H6" s="65" t="s">
        <v>423</v>
      </c>
      <c r="I6" s="49"/>
    </row>
    <row r="7">
      <c r="A7" s="52" t="s">
        <v>424</v>
      </c>
      <c r="B7" s="40" t="s">
        <v>425</v>
      </c>
      <c r="C7" s="40" t="s">
        <v>426</v>
      </c>
      <c r="D7" s="40" t="s">
        <v>427</v>
      </c>
      <c r="E7" s="40" t="s">
        <v>428</v>
      </c>
      <c r="F7" s="39" t="s">
        <v>31</v>
      </c>
      <c r="G7" s="40" t="s">
        <v>5</v>
      </c>
      <c r="H7" s="65" t="s">
        <v>429</v>
      </c>
      <c r="I7" s="49"/>
    </row>
    <row r="8">
      <c r="A8" s="52" t="s">
        <v>430</v>
      </c>
      <c r="B8" s="40" t="s">
        <v>431</v>
      </c>
      <c r="C8" s="40" t="s">
        <v>432</v>
      </c>
      <c r="D8" s="40" t="s">
        <v>433</v>
      </c>
      <c r="E8" s="40" t="s">
        <v>434</v>
      </c>
      <c r="F8" s="40" t="s">
        <v>31</v>
      </c>
      <c r="G8" s="40" t="s">
        <v>5</v>
      </c>
      <c r="H8" s="65" t="s">
        <v>435</v>
      </c>
      <c r="I8" s="49"/>
    </row>
    <row r="9">
      <c r="A9" s="52" t="s">
        <v>436</v>
      </c>
      <c r="B9" s="64" t="s">
        <v>437</v>
      </c>
      <c r="C9" s="40" t="s">
        <v>438</v>
      </c>
      <c r="D9" s="40" t="s">
        <v>439</v>
      </c>
      <c r="E9" s="40" t="s">
        <v>440</v>
      </c>
      <c r="F9" s="40" t="s">
        <v>31</v>
      </c>
      <c r="G9" s="40" t="s">
        <v>5</v>
      </c>
      <c r="H9" s="65" t="s">
        <v>441</v>
      </c>
      <c r="I9" s="49"/>
    </row>
    <row r="10">
      <c r="A10" s="52" t="s">
        <v>442</v>
      </c>
      <c r="B10" s="40" t="s">
        <v>443</v>
      </c>
      <c r="C10" s="40" t="s">
        <v>444</v>
      </c>
      <c r="D10" s="40" t="s">
        <v>445</v>
      </c>
      <c r="E10" s="40" t="s">
        <v>446</v>
      </c>
      <c r="F10" s="46" t="s">
        <v>31</v>
      </c>
      <c r="G10" s="40" t="s">
        <v>6</v>
      </c>
      <c r="H10" s="66" t="s">
        <v>447</v>
      </c>
      <c r="I10" s="67"/>
      <c r="J10" s="28"/>
      <c r="K10" s="28"/>
      <c r="L10" s="28"/>
    </row>
    <row r="11">
      <c r="A11" s="52" t="s">
        <v>448</v>
      </c>
      <c r="B11" s="40" t="s">
        <v>449</v>
      </c>
      <c r="C11" s="40" t="s">
        <v>444</v>
      </c>
      <c r="D11" s="40" t="s">
        <v>450</v>
      </c>
      <c r="E11" s="40" t="s">
        <v>451</v>
      </c>
      <c r="F11" s="46" t="s">
        <v>31</v>
      </c>
      <c r="G11" s="40" t="s">
        <v>5</v>
      </c>
      <c r="H11" s="66" t="s">
        <v>452</v>
      </c>
      <c r="I11" s="67"/>
      <c r="J11" s="28"/>
      <c r="K11" s="28"/>
      <c r="L11" s="28"/>
    </row>
    <row r="12">
      <c r="A12" s="52" t="s">
        <v>453</v>
      </c>
      <c r="B12" s="40" t="s">
        <v>454</v>
      </c>
      <c r="C12" s="40" t="s">
        <v>455</v>
      </c>
      <c r="D12" s="40" t="s">
        <v>456</v>
      </c>
      <c r="E12" s="40" t="s">
        <v>457</v>
      </c>
      <c r="F12" s="46" t="s">
        <v>31</v>
      </c>
      <c r="G12" s="40" t="s">
        <v>5</v>
      </c>
      <c r="H12" s="66" t="s">
        <v>458</v>
      </c>
      <c r="I12" s="49"/>
    </row>
    <row r="13">
      <c r="A13" s="52" t="s">
        <v>459</v>
      </c>
      <c r="B13" s="40" t="s">
        <v>460</v>
      </c>
      <c r="C13" s="40" t="s">
        <v>461</v>
      </c>
      <c r="D13" s="40" t="s">
        <v>462</v>
      </c>
      <c r="E13" s="40" t="s">
        <v>463</v>
      </c>
      <c r="F13" s="46" t="s">
        <v>31</v>
      </c>
      <c r="G13" s="40" t="s">
        <v>5</v>
      </c>
      <c r="H13" s="66" t="s">
        <v>464</v>
      </c>
      <c r="I13" s="49"/>
    </row>
    <row r="14">
      <c r="A14" s="52" t="s">
        <v>465</v>
      </c>
      <c r="B14" s="40" t="s">
        <v>466</v>
      </c>
      <c r="C14" s="40" t="s">
        <v>467</v>
      </c>
      <c r="D14" s="40" t="s">
        <v>468</v>
      </c>
      <c r="E14" s="40" t="s">
        <v>469</v>
      </c>
      <c r="F14" s="46" t="s">
        <v>31</v>
      </c>
      <c r="G14" s="40" t="s">
        <v>5</v>
      </c>
      <c r="H14" s="66" t="s">
        <v>470</v>
      </c>
      <c r="I14" s="49"/>
    </row>
    <row r="15">
      <c r="A15" s="52" t="s">
        <v>471</v>
      </c>
      <c r="B15" s="67" t="s">
        <v>472</v>
      </c>
      <c r="C15" s="40" t="s">
        <v>473</v>
      </c>
      <c r="D15" s="40" t="s">
        <v>474</v>
      </c>
      <c r="E15" s="40" t="s">
        <v>475</v>
      </c>
      <c r="F15" s="46" t="s">
        <v>31</v>
      </c>
      <c r="G15" s="40" t="s">
        <v>6</v>
      </c>
      <c r="H15" s="66" t="s">
        <v>476</v>
      </c>
      <c r="I15" s="67" t="s">
        <v>477</v>
      </c>
    </row>
    <row r="16">
      <c r="A16" s="52" t="s">
        <v>478</v>
      </c>
      <c r="B16" s="67" t="s">
        <v>479</v>
      </c>
      <c r="C16" s="40" t="s">
        <v>480</v>
      </c>
      <c r="D16" s="40" t="s">
        <v>481</v>
      </c>
      <c r="E16" s="40" t="s">
        <v>482</v>
      </c>
      <c r="F16" s="46" t="s">
        <v>31</v>
      </c>
      <c r="G16" s="40" t="s">
        <v>5</v>
      </c>
      <c r="H16" s="66" t="s">
        <v>483</v>
      </c>
      <c r="I16" s="49"/>
    </row>
    <row r="17">
      <c r="A17" s="52" t="s">
        <v>484</v>
      </c>
      <c r="B17" s="67" t="s">
        <v>485</v>
      </c>
      <c r="C17" s="40" t="s">
        <v>480</v>
      </c>
      <c r="D17" s="40" t="s">
        <v>486</v>
      </c>
      <c r="E17" s="40" t="s">
        <v>487</v>
      </c>
      <c r="F17" s="46" t="s">
        <v>31</v>
      </c>
      <c r="G17" s="40" t="s">
        <v>5</v>
      </c>
      <c r="H17" s="68" t="s">
        <v>488</v>
      </c>
      <c r="I17" s="49"/>
    </row>
    <row r="18">
      <c r="A18" s="52" t="s">
        <v>484</v>
      </c>
      <c r="B18" s="67" t="s">
        <v>485</v>
      </c>
      <c r="C18" s="40" t="s">
        <v>480</v>
      </c>
      <c r="D18" s="40" t="s">
        <v>489</v>
      </c>
      <c r="E18" s="40" t="s">
        <v>487</v>
      </c>
      <c r="F18" s="46" t="s">
        <v>31</v>
      </c>
      <c r="G18" s="40" t="s">
        <v>5</v>
      </c>
      <c r="H18" s="66" t="s">
        <v>490</v>
      </c>
      <c r="I18" s="49"/>
    </row>
    <row r="19">
      <c r="A19" s="52" t="s">
        <v>491</v>
      </c>
      <c r="B19" s="67" t="s">
        <v>492</v>
      </c>
      <c r="C19" s="40" t="s">
        <v>480</v>
      </c>
      <c r="D19" s="40" t="s">
        <v>493</v>
      </c>
      <c r="E19" s="40" t="s">
        <v>487</v>
      </c>
      <c r="F19" s="46" t="s">
        <v>31</v>
      </c>
      <c r="G19" s="40" t="s">
        <v>5</v>
      </c>
      <c r="H19" s="66" t="s">
        <v>494</v>
      </c>
      <c r="I19" s="49"/>
    </row>
    <row r="20">
      <c r="A20" s="52" t="s">
        <v>495</v>
      </c>
      <c r="B20" s="67" t="s">
        <v>346</v>
      </c>
      <c r="C20" s="40" t="s">
        <v>480</v>
      </c>
      <c r="D20" s="40" t="s">
        <v>496</v>
      </c>
      <c r="E20" s="40" t="s">
        <v>487</v>
      </c>
      <c r="F20" s="46" t="s">
        <v>31</v>
      </c>
      <c r="G20" s="40" t="s">
        <v>5</v>
      </c>
      <c r="H20" s="66" t="s">
        <v>497</v>
      </c>
      <c r="I20" s="49"/>
    </row>
    <row r="21">
      <c r="A21" s="52" t="s">
        <v>498</v>
      </c>
      <c r="B21" s="67" t="s">
        <v>416</v>
      </c>
      <c r="C21" s="40" t="s">
        <v>480</v>
      </c>
      <c r="D21" s="40" t="s">
        <v>499</v>
      </c>
      <c r="E21" s="40" t="s">
        <v>487</v>
      </c>
      <c r="F21" s="46" t="s">
        <v>31</v>
      </c>
      <c r="G21" s="40" t="s">
        <v>5</v>
      </c>
      <c r="H21" s="66" t="s">
        <v>500</v>
      </c>
      <c r="I21" s="49"/>
    </row>
    <row r="22">
      <c r="A22" s="52" t="s">
        <v>501</v>
      </c>
      <c r="B22" s="64" t="s">
        <v>502</v>
      </c>
      <c r="C22" s="40" t="s">
        <v>473</v>
      </c>
      <c r="D22" s="40" t="s">
        <v>503</v>
      </c>
      <c r="E22" s="40" t="s">
        <v>504</v>
      </c>
      <c r="F22" s="46" t="s">
        <v>31</v>
      </c>
      <c r="G22" s="40" t="s">
        <v>5</v>
      </c>
      <c r="H22" s="66" t="s">
        <v>505</v>
      </c>
      <c r="I22" s="67" t="s">
        <v>506</v>
      </c>
    </row>
    <row r="23">
      <c r="A23" s="69" t="s">
        <v>507</v>
      </c>
      <c r="B23" s="67" t="s">
        <v>508</v>
      </c>
      <c r="C23" s="70" t="s">
        <v>473</v>
      </c>
      <c r="D23" s="40" t="s">
        <v>509</v>
      </c>
      <c r="E23" s="40" t="s">
        <v>510</v>
      </c>
      <c r="F23" s="46" t="s">
        <v>31</v>
      </c>
      <c r="G23" s="40" t="s">
        <v>5</v>
      </c>
      <c r="H23" s="66" t="s">
        <v>511</v>
      </c>
      <c r="I23" s="67" t="s">
        <v>512</v>
      </c>
    </row>
  </sheetData>
  <mergeCells count="5">
    <mergeCell ref="C3:C4"/>
    <mergeCell ref="D3:D4"/>
    <mergeCell ref="E3:E4"/>
    <mergeCell ref="F3:F4"/>
    <mergeCell ref="G3:G4"/>
  </mergeCells>
  <dataValidations>
    <dataValidation type="list" allowBlank="1" showErrorMessage="1" sqref="G6:G23">
      <formula1>"PASS,FAIL,Blocked,Not Tested"</formula1>
    </dataValidation>
    <dataValidation type="list" allowBlank="1" showErrorMessage="1" sqref="F6:F23">
      <formula1>"HIGH,MEDIUM,MINOR"</formula1>
    </dataValidation>
  </dataValidations>
  <hyperlinks>
    <hyperlink r:id="rId1" location="Register-a-new-API-client" ref="B2"/>
    <hyperlink r:id="rId2" ref="B3"/>
    <hyperlink r:id="rId3" ref="H6"/>
    <hyperlink r:id="rId4" ref="H7"/>
    <hyperlink r:id="rId5" ref="H8"/>
    <hyperlink r:id="rId6" ref="H9"/>
    <hyperlink r:id="rId7" ref="H10"/>
    <hyperlink r:id="rId8" ref="H11"/>
    <hyperlink r:id="rId9" ref="H12"/>
    <hyperlink r:id="rId10" ref="H13"/>
    <hyperlink r:id="rId11" ref="H14"/>
    <hyperlink r:id="rId12" ref="H15"/>
    <hyperlink r:id="rId13" ref="H16"/>
    <hyperlink r:id="rId14" ref="H17"/>
    <hyperlink r:id="rId15" ref="H18"/>
    <hyperlink r:id="rId16" ref="H19"/>
    <hyperlink r:id="rId17" ref="H20"/>
    <hyperlink r:id="rId18" ref="H21"/>
    <hyperlink r:id="rId19" ref="H22"/>
    <hyperlink r:id="rId20" ref="H23"/>
  </hyperlinks>
  <drawing r:id="rId2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25"/>
    <col customWidth="1" min="2" max="2" width="25.63"/>
    <col customWidth="1" min="3" max="3" width="19.25"/>
    <col customWidth="1" min="4" max="4" width="16.25"/>
    <col customWidth="1" min="5" max="5" width="16.38"/>
    <col customWidth="1" min="6" max="6" width="18.25"/>
    <col customWidth="1" min="7" max="7" width="16.88"/>
  </cols>
  <sheetData>
    <row r="1">
      <c r="A1" s="45" t="s">
        <v>0</v>
      </c>
      <c r="B1" s="46" t="s">
        <v>1</v>
      </c>
      <c r="C1" s="47"/>
      <c r="D1" s="47"/>
      <c r="E1" s="47"/>
      <c r="F1" s="47"/>
      <c r="G1" s="47"/>
      <c r="H1" s="48"/>
      <c r="I1" s="49"/>
    </row>
    <row r="2">
      <c r="A2" s="3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  <c r="H2" s="48"/>
      <c r="I2" s="49"/>
    </row>
    <row r="3">
      <c r="A3" s="32" t="s">
        <v>9</v>
      </c>
      <c r="B3" s="33" t="s">
        <v>10</v>
      </c>
      <c r="C3" s="35">
        <f>SUM(D3:G3)</f>
        <v>6</v>
      </c>
      <c r="D3" s="35">
        <f>COUNTIF(G5:G997, "Pass")</f>
        <v>6</v>
      </c>
      <c r="E3" s="35">
        <f>COUNTIF(G6:G997, "Fail")</f>
        <v>0</v>
      </c>
      <c r="F3" s="35">
        <f>COUNTIF(G7:G997, "BLOCKED")</f>
        <v>0</v>
      </c>
      <c r="G3" s="35">
        <f>COUNTIF(G7:G997, "NOT TESTED")</f>
        <v>0</v>
      </c>
      <c r="H3" s="48"/>
      <c r="I3" s="49"/>
    </row>
    <row r="4">
      <c r="A4" s="32" t="s">
        <v>11</v>
      </c>
      <c r="B4" s="36" t="s">
        <v>12</v>
      </c>
      <c r="C4" s="9"/>
      <c r="D4" s="9"/>
      <c r="E4" s="9"/>
      <c r="F4" s="9"/>
      <c r="G4" s="9"/>
      <c r="H4" s="48"/>
      <c r="I4" s="49"/>
    </row>
    <row r="5">
      <c r="A5" s="37" t="s">
        <v>13</v>
      </c>
      <c r="B5" s="37" t="s">
        <v>14</v>
      </c>
      <c r="C5" s="37" t="s">
        <v>15</v>
      </c>
      <c r="D5" s="37" t="s">
        <v>16</v>
      </c>
      <c r="E5" s="37" t="s">
        <v>17</v>
      </c>
      <c r="F5" s="37" t="s">
        <v>18</v>
      </c>
      <c r="G5" s="37" t="s">
        <v>19</v>
      </c>
      <c r="H5" s="50" t="s">
        <v>20</v>
      </c>
      <c r="I5" s="51" t="s">
        <v>146</v>
      </c>
    </row>
    <row r="6">
      <c r="A6" s="52" t="s">
        <v>204</v>
      </c>
      <c r="B6" s="40" t="s">
        <v>513</v>
      </c>
      <c r="C6" s="40" t="s">
        <v>222</v>
      </c>
      <c r="D6" s="40" t="s">
        <v>514</v>
      </c>
      <c r="E6" s="40" t="s">
        <v>515</v>
      </c>
      <c r="F6" s="39" t="s">
        <v>31</v>
      </c>
      <c r="G6" s="40" t="s">
        <v>5</v>
      </c>
      <c r="H6" s="53"/>
      <c r="I6" s="49"/>
    </row>
    <row r="7">
      <c r="A7" s="52" t="s">
        <v>208</v>
      </c>
      <c r="B7" s="40" t="s">
        <v>516</v>
      </c>
      <c r="C7" s="40" t="s">
        <v>222</v>
      </c>
      <c r="D7" s="40" t="s">
        <v>517</v>
      </c>
      <c r="E7" s="40" t="s">
        <v>155</v>
      </c>
      <c r="F7" s="39" t="s">
        <v>31</v>
      </c>
      <c r="G7" s="40" t="s">
        <v>5</v>
      </c>
      <c r="H7" s="53"/>
      <c r="I7" s="49"/>
    </row>
    <row r="8">
      <c r="A8" s="52" t="s">
        <v>212</v>
      </c>
      <c r="B8" s="40" t="s">
        <v>518</v>
      </c>
      <c r="C8" s="40" t="s">
        <v>222</v>
      </c>
      <c r="D8" s="40" t="s">
        <v>223</v>
      </c>
      <c r="E8" s="40" t="s">
        <v>224</v>
      </c>
      <c r="F8" s="40" t="s">
        <v>31</v>
      </c>
      <c r="G8" s="40" t="s">
        <v>5</v>
      </c>
      <c r="H8" s="53"/>
      <c r="I8" s="49"/>
    </row>
    <row r="9">
      <c r="A9" s="52" t="s">
        <v>216</v>
      </c>
      <c r="B9" s="40" t="s">
        <v>519</v>
      </c>
      <c r="C9" s="40" t="s">
        <v>222</v>
      </c>
      <c r="D9" s="40" t="s">
        <v>520</v>
      </c>
      <c r="E9" s="40" t="s">
        <v>224</v>
      </c>
      <c r="F9" s="40" t="s">
        <v>31</v>
      </c>
      <c r="G9" s="40" t="s">
        <v>5</v>
      </c>
      <c r="H9" s="53"/>
      <c r="I9" s="49"/>
    </row>
    <row r="10">
      <c r="A10" s="52" t="s">
        <v>220</v>
      </c>
      <c r="B10" s="40" t="s">
        <v>521</v>
      </c>
      <c r="C10" s="40" t="s">
        <v>222</v>
      </c>
      <c r="D10" s="40" t="s">
        <v>522</v>
      </c>
      <c r="E10" s="40" t="s">
        <v>224</v>
      </c>
      <c r="F10" s="40" t="s">
        <v>31</v>
      </c>
      <c r="G10" s="40" t="s">
        <v>5</v>
      </c>
      <c r="H10" s="53"/>
      <c r="I10" s="49"/>
    </row>
    <row r="11">
      <c r="A11" s="52" t="s">
        <v>225</v>
      </c>
      <c r="B11" s="40" t="s">
        <v>523</v>
      </c>
      <c r="C11" s="40" t="s">
        <v>222</v>
      </c>
      <c r="D11" s="40" t="s">
        <v>524</v>
      </c>
      <c r="E11" s="40" t="s">
        <v>224</v>
      </c>
      <c r="F11" s="40" t="s">
        <v>31</v>
      </c>
      <c r="G11" s="40" t="s">
        <v>5</v>
      </c>
      <c r="H11" s="53"/>
      <c r="I11" s="49"/>
    </row>
  </sheetData>
  <mergeCells count="5">
    <mergeCell ref="C3:C4"/>
    <mergeCell ref="D3:D4"/>
    <mergeCell ref="E3:E4"/>
    <mergeCell ref="F3:F4"/>
    <mergeCell ref="G3:G4"/>
  </mergeCells>
  <dataValidations>
    <dataValidation type="list" allowBlank="1" showErrorMessage="1" sqref="G6:G11">
      <formula1>"PASS,FAIL,Blocked,Not Tested"</formula1>
    </dataValidation>
    <dataValidation type="list" allowBlank="1" showErrorMessage="1" sqref="F6:F11">
      <formula1>"HIGH,MEDIUM,MINOR"</formula1>
    </dataValidation>
  </dataValidations>
  <hyperlinks>
    <hyperlink r:id="rId1" location="Register-a-new-API-client" ref="B2"/>
    <hyperlink r:id="rId2" ref="B3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2" width="24.25"/>
    <col customWidth="1" min="3" max="3" width="21.75"/>
    <col customWidth="1" min="4" max="4" width="31.5"/>
    <col customWidth="1" min="5" max="5" width="26.38"/>
    <col customWidth="1" min="8" max="8" width="26.25"/>
  </cols>
  <sheetData>
    <row r="1">
      <c r="A1" s="45" t="s">
        <v>0</v>
      </c>
      <c r="B1" s="46" t="s">
        <v>1</v>
      </c>
      <c r="C1" s="47"/>
      <c r="D1" s="47"/>
      <c r="E1" s="47"/>
      <c r="F1" s="47"/>
      <c r="G1" s="47"/>
      <c r="H1" s="48"/>
      <c r="I1" s="49"/>
    </row>
    <row r="2">
      <c r="A2" s="3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  <c r="H2" s="48"/>
      <c r="I2" s="49"/>
    </row>
    <row r="3">
      <c r="A3" s="32" t="s">
        <v>9</v>
      </c>
      <c r="B3" s="33" t="s">
        <v>10</v>
      </c>
      <c r="C3" s="35">
        <f>SUM(D3:G3)</f>
        <v>20</v>
      </c>
      <c r="D3" s="35">
        <f>COUNTIF(G6:G1016, "Pass")</f>
        <v>19</v>
      </c>
      <c r="E3" s="35">
        <f>COUNTIF(G6:G1016, "Fail")</f>
        <v>1</v>
      </c>
      <c r="F3" s="35">
        <f>COUNTIF(G10:G1016, "BLOCKED")</f>
        <v>0</v>
      </c>
      <c r="G3" s="35">
        <f>COUNTIF(G10:G1016, "NOT TESTED")</f>
        <v>0</v>
      </c>
      <c r="H3" s="48"/>
      <c r="I3" s="49"/>
    </row>
    <row r="4">
      <c r="A4" s="32" t="s">
        <v>11</v>
      </c>
      <c r="B4" s="36" t="s">
        <v>12</v>
      </c>
      <c r="C4" s="9"/>
      <c r="D4" s="9"/>
      <c r="E4" s="9"/>
      <c r="F4" s="9"/>
      <c r="G4" s="9"/>
      <c r="H4" s="48"/>
      <c r="I4" s="49"/>
    </row>
    <row r="5">
      <c r="A5" s="37" t="s">
        <v>13</v>
      </c>
      <c r="B5" s="37" t="s">
        <v>14</v>
      </c>
      <c r="C5" s="37" t="s">
        <v>15</v>
      </c>
      <c r="D5" s="37" t="s">
        <v>16</v>
      </c>
      <c r="E5" s="37" t="s">
        <v>17</v>
      </c>
      <c r="F5" s="37" t="s">
        <v>18</v>
      </c>
      <c r="G5" s="37" t="s">
        <v>19</v>
      </c>
      <c r="H5" s="50" t="s">
        <v>20</v>
      </c>
      <c r="I5" s="51" t="s">
        <v>146</v>
      </c>
    </row>
    <row r="6">
      <c r="A6" s="52" t="s">
        <v>525</v>
      </c>
      <c r="B6" s="40" t="s">
        <v>526</v>
      </c>
      <c r="C6" s="40" t="s">
        <v>149</v>
      </c>
      <c r="D6" s="40" t="s">
        <v>527</v>
      </c>
      <c r="E6" s="40" t="s">
        <v>528</v>
      </c>
      <c r="F6" s="39" t="s">
        <v>31</v>
      </c>
      <c r="G6" s="40" t="s">
        <v>5</v>
      </c>
      <c r="H6" s="53"/>
      <c r="I6" s="49"/>
    </row>
    <row r="7">
      <c r="A7" s="52" t="s">
        <v>529</v>
      </c>
      <c r="B7" s="40" t="s">
        <v>530</v>
      </c>
      <c r="C7" s="40" t="s">
        <v>149</v>
      </c>
      <c r="D7" s="40" t="s">
        <v>531</v>
      </c>
      <c r="E7" s="40" t="s">
        <v>532</v>
      </c>
      <c r="F7" s="40" t="s">
        <v>31</v>
      </c>
      <c r="G7" s="40" t="s">
        <v>5</v>
      </c>
      <c r="H7" s="53"/>
      <c r="I7" s="49"/>
    </row>
    <row r="8">
      <c r="A8" s="52" t="s">
        <v>533</v>
      </c>
      <c r="B8" s="40" t="s">
        <v>534</v>
      </c>
      <c r="C8" s="40" t="s">
        <v>149</v>
      </c>
      <c r="D8" s="40" t="s">
        <v>535</v>
      </c>
      <c r="E8" s="40" t="s">
        <v>211</v>
      </c>
      <c r="F8" s="40" t="s">
        <v>31</v>
      </c>
      <c r="G8" s="40" t="s">
        <v>5</v>
      </c>
      <c r="H8" s="53"/>
      <c r="I8" s="49"/>
    </row>
    <row r="9">
      <c r="A9" s="52" t="s">
        <v>536</v>
      </c>
      <c r="B9" s="40" t="s">
        <v>537</v>
      </c>
      <c r="C9" s="40" t="s">
        <v>222</v>
      </c>
      <c r="D9" s="40" t="s">
        <v>514</v>
      </c>
      <c r="E9" s="40" t="s">
        <v>538</v>
      </c>
      <c r="F9" s="40" t="s">
        <v>31</v>
      </c>
      <c r="G9" s="40" t="s">
        <v>5</v>
      </c>
      <c r="H9" s="53"/>
      <c r="I9" s="49"/>
    </row>
    <row r="10">
      <c r="A10" s="52" t="s">
        <v>539</v>
      </c>
      <c r="B10" s="40" t="s">
        <v>540</v>
      </c>
      <c r="C10" s="40" t="s">
        <v>149</v>
      </c>
      <c r="D10" s="40" t="s">
        <v>541</v>
      </c>
      <c r="E10" s="40" t="s">
        <v>542</v>
      </c>
      <c r="F10" s="39" t="s">
        <v>31</v>
      </c>
      <c r="G10" s="40" t="s">
        <v>5</v>
      </c>
      <c r="H10" s="53"/>
      <c r="I10" s="49"/>
    </row>
    <row r="11">
      <c r="A11" s="52" t="s">
        <v>543</v>
      </c>
      <c r="B11" s="40" t="s">
        <v>544</v>
      </c>
      <c r="C11" s="40" t="s">
        <v>149</v>
      </c>
      <c r="D11" s="40" t="s">
        <v>545</v>
      </c>
      <c r="E11" s="40" t="s">
        <v>546</v>
      </c>
      <c r="F11" s="40" t="s">
        <v>31</v>
      </c>
      <c r="G11" s="40" t="s">
        <v>5</v>
      </c>
      <c r="H11" s="53"/>
      <c r="I11" s="49"/>
    </row>
    <row r="12">
      <c r="A12" s="52" t="s">
        <v>547</v>
      </c>
      <c r="B12" s="40" t="s">
        <v>548</v>
      </c>
      <c r="C12" s="40" t="s">
        <v>149</v>
      </c>
      <c r="D12" s="40" t="s">
        <v>549</v>
      </c>
      <c r="E12" s="40" t="s">
        <v>550</v>
      </c>
      <c r="F12" s="40" t="s">
        <v>31</v>
      </c>
      <c r="G12" s="40" t="s">
        <v>5</v>
      </c>
      <c r="H12" s="53"/>
      <c r="I12" s="49"/>
    </row>
    <row r="13">
      <c r="A13" s="52" t="s">
        <v>551</v>
      </c>
      <c r="B13" s="40" t="s">
        <v>552</v>
      </c>
      <c r="C13" s="40" t="s">
        <v>149</v>
      </c>
      <c r="D13" s="40" t="s">
        <v>553</v>
      </c>
      <c r="E13" s="40" t="s">
        <v>554</v>
      </c>
      <c r="F13" s="40" t="s">
        <v>31</v>
      </c>
      <c r="G13" s="40" t="s">
        <v>6</v>
      </c>
      <c r="H13" s="53" t="s">
        <v>555</v>
      </c>
      <c r="I13" s="49"/>
    </row>
    <row r="14">
      <c r="A14" s="52" t="s">
        <v>556</v>
      </c>
      <c r="B14" s="40" t="s">
        <v>557</v>
      </c>
      <c r="C14" s="40" t="s">
        <v>149</v>
      </c>
      <c r="D14" s="40" t="s">
        <v>558</v>
      </c>
      <c r="E14" s="40" t="s">
        <v>559</v>
      </c>
      <c r="F14" s="40" t="s">
        <v>31</v>
      </c>
      <c r="G14" s="40" t="s">
        <v>5</v>
      </c>
      <c r="H14" s="53"/>
      <c r="I14" s="49"/>
    </row>
    <row r="15">
      <c r="A15" s="52" t="s">
        <v>560</v>
      </c>
      <c r="B15" s="67" t="s">
        <v>561</v>
      </c>
      <c r="C15" s="40" t="s">
        <v>149</v>
      </c>
      <c r="D15" s="40" t="s">
        <v>562</v>
      </c>
      <c r="E15" s="40" t="s">
        <v>175</v>
      </c>
      <c r="F15" s="40" t="s">
        <v>31</v>
      </c>
      <c r="G15" s="40" t="s">
        <v>5</v>
      </c>
      <c r="H15" s="53"/>
      <c r="I15" s="49"/>
    </row>
    <row r="16">
      <c r="A16" s="52" t="s">
        <v>563</v>
      </c>
      <c r="B16" s="67" t="s">
        <v>564</v>
      </c>
      <c r="C16" s="40" t="s">
        <v>149</v>
      </c>
      <c r="D16" s="40" t="s">
        <v>565</v>
      </c>
      <c r="E16" s="40" t="s">
        <v>566</v>
      </c>
      <c r="F16" s="40" t="s">
        <v>31</v>
      </c>
      <c r="G16" s="40" t="s">
        <v>5</v>
      </c>
      <c r="H16" s="53" t="s">
        <v>567</v>
      </c>
      <c r="I16" s="49"/>
    </row>
    <row r="17">
      <c r="A17" s="52" t="s">
        <v>568</v>
      </c>
      <c r="B17" s="64" t="s">
        <v>569</v>
      </c>
      <c r="C17" s="40" t="s">
        <v>149</v>
      </c>
      <c r="D17" s="40" t="s">
        <v>570</v>
      </c>
      <c r="E17" s="40" t="s">
        <v>571</v>
      </c>
      <c r="F17" s="40" t="s">
        <v>31</v>
      </c>
      <c r="G17" s="40" t="s">
        <v>5</v>
      </c>
      <c r="H17" s="53"/>
      <c r="I17" s="49"/>
    </row>
    <row r="18">
      <c r="A18" s="52" t="s">
        <v>572</v>
      </c>
      <c r="B18" s="40" t="s">
        <v>573</v>
      </c>
      <c r="C18" s="40" t="s">
        <v>149</v>
      </c>
      <c r="D18" s="40" t="s">
        <v>574</v>
      </c>
      <c r="E18" s="40" t="s">
        <v>194</v>
      </c>
      <c r="F18" s="40" t="s">
        <v>31</v>
      </c>
      <c r="G18" s="40" t="s">
        <v>5</v>
      </c>
      <c r="H18" s="53"/>
      <c r="I18" s="49"/>
    </row>
    <row r="19">
      <c r="A19" s="52" t="s">
        <v>575</v>
      </c>
      <c r="B19" s="40" t="s">
        <v>576</v>
      </c>
      <c r="C19" s="40" t="s">
        <v>149</v>
      </c>
      <c r="D19" s="40" t="s">
        <v>574</v>
      </c>
      <c r="E19" s="40" t="s">
        <v>577</v>
      </c>
      <c r="F19" s="40" t="s">
        <v>31</v>
      </c>
      <c r="G19" s="40" t="s">
        <v>5</v>
      </c>
      <c r="H19" s="53"/>
      <c r="I19" s="49"/>
    </row>
    <row r="20">
      <c r="A20" s="52" t="s">
        <v>578</v>
      </c>
      <c r="B20" s="40" t="s">
        <v>579</v>
      </c>
      <c r="C20" s="40" t="s">
        <v>149</v>
      </c>
      <c r="D20" s="40" t="s">
        <v>574</v>
      </c>
      <c r="E20" s="40" t="s">
        <v>580</v>
      </c>
      <c r="F20" s="40" t="s">
        <v>31</v>
      </c>
      <c r="G20" s="40" t="s">
        <v>5</v>
      </c>
      <c r="H20" s="53"/>
      <c r="I20" s="49"/>
    </row>
    <row r="21">
      <c r="A21" s="52" t="s">
        <v>581</v>
      </c>
      <c r="B21" s="40" t="s">
        <v>582</v>
      </c>
      <c r="C21" s="40" t="s">
        <v>222</v>
      </c>
      <c r="D21" s="40" t="s">
        <v>583</v>
      </c>
      <c r="E21" s="40" t="s">
        <v>584</v>
      </c>
      <c r="F21" s="40" t="s">
        <v>31</v>
      </c>
      <c r="G21" s="40" t="s">
        <v>5</v>
      </c>
      <c r="H21" s="53"/>
      <c r="I21" s="49"/>
    </row>
    <row r="22">
      <c r="A22" s="52" t="s">
        <v>585</v>
      </c>
      <c r="B22" s="40" t="s">
        <v>586</v>
      </c>
      <c r="C22" s="40" t="s">
        <v>149</v>
      </c>
      <c r="D22" s="40" t="s">
        <v>587</v>
      </c>
      <c r="E22" s="40" t="s">
        <v>538</v>
      </c>
      <c r="F22" s="40" t="s">
        <v>31</v>
      </c>
      <c r="G22" s="40" t="s">
        <v>5</v>
      </c>
      <c r="H22" s="40"/>
      <c r="I22" s="49"/>
    </row>
    <row r="23">
      <c r="A23" s="52" t="s">
        <v>588</v>
      </c>
      <c r="B23" s="40" t="s">
        <v>589</v>
      </c>
      <c r="C23" s="40" t="s">
        <v>149</v>
      </c>
      <c r="D23" s="40" t="s">
        <v>590</v>
      </c>
      <c r="E23" s="40" t="s">
        <v>538</v>
      </c>
      <c r="F23" s="40" t="s">
        <v>31</v>
      </c>
      <c r="G23" s="40" t="s">
        <v>5</v>
      </c>
      <c r="H23" s="49"/>
      <c r="I23" s="49"/>
    </row>
    <row r="24">
      <c r="A24" s="52" t="s">
        <v>591</v>
      </c>
      <c r="B24" s="40" t="s">
        <v>592</v>
      </c>
      <c r="C24" s="40" t="s">
        <v>149</v>
      </c>
      <c r="D24" s="40" t="s">
        <v>593</v>
      </c>
      <c r="E24" s="40" t="s">
        <v>538</v>
      </c>
      <c r="F24" s="40" t="s">
        <v>31</v>
      </c>
      <c r="G24" s="40" t="s">
        <v>5</v>
      </c>
      <c r="H24" s="49"/>
      <c r="I24" s="49"/>
    </row>
    <row r="25">
      <c r="A25" s="52" t="s">
        <v>594</v>
      </c>
      <c r="B25" s="40" t="s">
        <v>595</v>
      </c>
      <c r="C25" s="40" t="s">
        <v>149</v>
      </c>
      <c r="D25" s="40" t="s">
        <v>596</v>
      </c>
      <c r="E25" s="40" t="s">
        <v>538</v>
      </c>
      <c r="F25" s="40" t="s">
        <v>31</v>
      </c>
      <c r="G25" s="40" t="s">
        <v>5</v>
      </c>
      <c r="H25" s="49"/>
      <c r="I25" s="49"/>
    </row>
    <row r="26">
      <c r="A26" s="71"/>
      <c r="B26" s="72"/>
      <c r="C26" s="72"/>
      <c r="E26" s="72"/>
    </row>
  </sheetData>
  <mergeCells count="5">
    <mergeCell ref="C3:C4"/>
    <mergeCell ref="D3:D4"/>
    <mergeCell ref="E3:E4"/>
    <mergeCell ref="F3:F4"/>
    <mergeCell ref="G3:G4"/>
  </mergeCells>
  <dataValidations>
    <dataValidation type="list" allowBlank="1" showErrorMessage="1" sqref="G6:G25">
      <formula1>"PASS,FAIL,Blocked,Not Tested"</formula1>
    </dataValidation>
    <dataValidation type="list" allowBlank="1" showErrorMessage="1" sqref="F6:F25">
      <formula1>"HIGH,MEDIUM,MINOR"</formula1>
    </dataValidation>
  </dataValidations>
  <hyperlinks>
    <hyperlink r:id="rId1" location="Register-a-new-API-client" ref="B2"/>
    <hyperlink r:id="rId2" ref="B3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13"/>
    <col customWidth="1" min="2" max="2" width="25.63"/>
    <col customWidth="1" min="3" max="3" width="18.25"/>
    <col customWidth="1" min="4" max="4" width="23.25"/>
    <col customWidth="1" min="5" max="5" width="22.25"/>
    <col customWidth="1" min="8" max="8" width="17.63"/>
  </cols>
  <sheetData>
    <row r="1">
      <c r="A1" s="29" t="s">
        <v>0</v>
      </c>
      <c r="B1" s="41" t="s">
        <v>597</v>
      </c>
      <c r="C1" s="31"/>
      <c r="D1" s="31"/>
      <c r="E1" s="31"/>
      <c r="F1" s="31"/>
      <c r="G1" s="31"/>
      <c r="H1" s="47"/>
    </row>
    <row r="2">
      <c r="A2" s="32" t="s">
        <v>2</v>
      </c>
      <c r="B2" s="33"/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  <c r="H2" s="47"/>
    </row>
    <row r="3">
      <c r="A3" s="32" t="s">
        <v>9</v>
      </c>
      <c r="B3" s="73" t="s">
        <v>598</v>
      </c>
      <c r="C3" s="35">
        <f>SUM(D3:G3)</f>
        <v>28</v>
      </c>
      <c r="D3" s="35">
        <f>COUNTIF($G7:$G1030, "PASS")</f>
        <v>28</v>
      </c>
      <c r="E3" s="35">
        <f>COUNTIF($G7:$G1030, "FAILD")</f>
        <v>0</v>
      </c>
      <c r="F3" s="35">
        <f>COUNTIF($G7:$G1030, "Blocked")</f>
        <v>0</v>
      </c>
      <c r="G3" s="35">
        <f>COUNTIF($G7:$G1030, "Not Tested")</f>
        <v>0</v>
      </c>
      <c r="H3" s="47"/>
    </row>
    <row r="4">
      <c r="A4" s="32" t="s">
        <v>11</v>
      </c>
      <c r="B4" s="36" t="s">
        <v>12</v>
      </c>
      <c r="C4" s="9"/>
      <c r="D4" s="9"/>
      <c r="E4" s="9"/>
      <c r="F4" s="9"/>
      <c r="G4" s="9"/>
      <c r="H4" s="47"/>
    </row>
    <row r="5">
      <c r="A5" s="37" t="s">
        <v>13</v>
      </c>
      <c r="B5" s="37" t="s">
        <v>14</v>
      </c>
      <c r="C5" s="37" t="s">
        <v>15</v>
      </c>
      <c r="D5" s="37" t="s">
        <v>16</v>
      </c>
      <c r="E5" s="37" t="s">
        <v>17</v>
      </c>
      <c r="F5" s="37" t="s">
        <v>18</v>
      </c>
      <c r="G5" s="37" t="s">
        <v>19</v>
      </c>
      <c r="H5" s="37" t="s">
        <v>20</v>
      </c>
    </row>
    <row r="6">
      <c r="A6" s="74" t="s">
        <v>599</v>
      </c>
      <c r="B6" s="75"/>
      <c r="C6" s="75"/>
      <c r="D6" s="75"/>
      <c r="E6" s="76"/>
      <c r="F6" s="75"/>
      <c r="G6" s="75"/>
      <c r="H6" s="77"/>
    </row>
    <row r="7">
      <c r="A7" s="52" t="s">
        <v>600</v>
      </c>
      <c r="B7" s="40" t="s">
        <v>601</v>
      </c>
      <c r="C7" s="40" t="s">
        <v>602</v>
      </c>
      <c r="D7" s="40" t="s">
        <v>603</v>
      </c>
      <c r="E7" s="67" t="s">
        <v>604</v>
      </c>
      <c r="F7" s="40" t="s">
        <v>31</v>
      </c>
      <c r="G7" s="40" t="s">
        <v>5</v>
      </c>
      <c r="H7" s="78"/>
    </row>
    <row r="8">
      <c r="A8" s="52" t="s">
        <v>605</v>
      </c>
      <c r="B8" s="40" t="s">
        <v>606</v>
      </c>
      <c r="C8" s="40" t="s">
        <v>607</v>
      </c>
      <c r="D8" s="40" t="s">
        <v>608</v>
      </c>
      <c r="E8" s="67" t="s">
        <v>604</v>
      </c>
      <c r="F8" s="40" t="s">
        <v>31</v>
      </c>
      <c r="G8" s="40" t="s">
        <v>5</v>
      </c>
      <c r="H8" s="78"/>
    </row>
    <row r="9">
      <c r="A9" s="52" t="s">
        <v>609</v>
      </c>
      <c r="B9" s="40" t="s">
        <v>610</v>
      </c>
      <c r="C9" s="40" t="s">
        <v>611</v>
      </c>
      <c r="D9" s="40" t="s">
        <v>612</v>
      </c>
      <c r="E9" s="67" t="s">
        <v>613</v>
      </c>
      <c r="F9" s="40" t="s">
        <v>31</v>
      </c>
      <c r="G9" s="40" t="s">
        <v>5</v>
      </c>
      <c r="H9" s="46" t="s">
        <v>614</v>
      </c>
    </row>
    <row r="10">
      <c r="A10" s="52" t="s">
        <v>615</v>
      </c>
      <c r="B10" s="40" t="s">
        <v>616</v>
      </c>
      <c r="C10" s="40" t="s">
        <v>607</v>
      </c>
      <c r="D10" s="40" t="s">
        <v>617</v>
      </c>
      <c r="E10" s="67" t="s">
        <v>618</v>
      </c>
      <c r="F10" s="40" t="s">
        <v>31</v>
      </c>
      <c r="G10" s="40" t="s">
        <v>5</v>
      </c>
      <c r="H10" s="46" t="s">
        <v>619</v>
      </c>
    </row>
    <row r="11">
      <c r="A11" s="52" t="s">
        <v>620</v>
      </c>
      <c r="B11" s="40" t="s">
        <v>621</v>
      </c>
      <c r="C11" s="40" t="s">
        <v>607</v>
      </c>
      <c r="D11" s="40" t="s">
        <v>622</v>
      </c>
      <c r="E11" s="67" t="s">
        <v>623</v>
      </c>
      <c r="F11" s="40" t="s">
        <v>31</v>
      </c>
      <c r="G11" s="40" t="s">
        <v>5</v>
      </c>
      <c r="H11" s="46" t="s">
        <v>624</v>
      </c>
    </row>
    <row r="12">
      <c r="A12" s="52" t="s">
        <v>625</v>
      </c>
      <c r="B12" s="40" t="s">
        <v>626</v>
      </c>
      <c r="C12" s="40" t="s">
        <v>627</v>
      </c>
      <c r="D12" s="40" t="s">
        <v>628</v>
      </c>
      <c r="E12" s="67" t="s">
        <v>623</v>
      </c>
      <c r="F12" s="40" t="s">
        <v>31</v>
      </c>
      <c r="G12" s="40" t="s">
        <v>5</v>
      </c>
      <c r="H12" s="46" t="s">
        <v>629</v>
      </c>
    </row>
    <row r="13">
      <c r="A13" s="74" t="s">
        <v>630</v>
      </c>
      <c r="B13" s="75"/>
      <c r="C13" s="75"/>
      <c r="D13" s="75"/>
      <c r="E13" s="76"/>
      <c r="F13" s="75"/>
      <c r="G13" s="75"/>
      <c r="H13" s="77"/>
    </row>
    <row r="14">
      <c r="A14" s="52" t="s">
        <v>631</v>
      </c>
      <c r="B14" s="40" t="s">
        <v>632</v>
      </c>
      <c r="C14" s="40" t="s">
        <v>633</v>
      </c>
      <c r="D14" s="40" t="s">
        <v>634</v>
      </c>
      <c r="E14" s="67" t="s">
        <v>635</v>
      </c>
      <c r="F14" s="40" t="s">
        <v>31</v>
      </c>
      <c r="G14" s="40" t="s">
        <v>5</v>
      </c>
      <c r="H14" s="78"/>
    </row>
    <row r="15">
      <c r="A15" s="52" t="s">
        <v>636</v>
      </c>
      <c r="B15" s="40" t="s">
        <v>637</v>
      </c>
      <c r="C15" s="40" t="s">
        <v>638</v>
      </c>
      <c r="D15" s="40" t="s">
        <v>639</v>
      </c>
      <c r="E15" s="67" t="s">
        <v>640</v>
      </c>
      <c r="F15" s="40"/>
      <c r="G15" s="40"/>
      <c r="H15" s="78"/>
    </row>
    <row r="16">
      <c r="A16" s="52" t="s">
        <v>641</v>
      </c>
      <c r="B16" s="40" t="s">
        <v>642</v>
      </c>
      <c r="C16" s="40" t="s">
        <v>643</v>
      </c>
      <c r="D16" s="40" t="s">
        <v>644</v>
      </c>
      <c r="E16" s="67" t="s">
        <v>645</v>
      </c>
      <c r="F16" s="40" t="s">
        <v>31</v>
      </c>
      <c r="G16" s="40" t="s">
        <v>5</v>
      </c>
      <c r="H16" s="78"/>
    </row>
    <row r="17">
      <c r="A17" s="52" t="s">
        <v>646</v>
      </c>
      <c r="B17" s="40" t="s">
        <v>647</v>
      </c>
      <c r="C17" s="40" t="s">
        <v>648</v>
      </c>
      <c r="D17" s="40" t="s">
        <v>644</v>
      </c>
      <c r="E17" s="67" t="s">
        <v>649</v>
      </c>
      <c r="F17" s="40" t="s">
        <v>31</v>
      </c>
      <c r="G17" s="40" t="s">
        <v>5</v>
      </c>
      <c r="H17" s="78"/>
    </row>
    <row r="18">
      <c r="A18" s="74" t="s">
        <v>650</v>
      </c>
      <c r="B18" s="75"/>
      <c r="C18" s="75"/>
      <c r="D18" s="75"/>
      <c r="E18" s="76"/>
      <c r="F18" s="75"/>
      <c r="G18" s="75"/>
      <c r="H18" s="77"/>
    </row>
    <row r="19">
      <c r="A19" s="52" t="s">
        <v>651</v>
      </c>
      <c r="B19" s="40" t="s">
        <v>652</v>
      </c>
      <c r="C19" s="40" t="s">
        <v>653</v>
      </c>
      <c r="D19" s="40" t="s">
        <v>654</v>
      </c>
      <c r="E19" s="67" t="s">
        <v>655</v>
      </c>
      <c r="F19" s="39" t="s">
        <v>31</v>
      </c>
      <c r="G19" s="40" t="s">
        <v>5</v>
      </c>
      <c r="H19" s="39"/>
    </row>
    <row r="20">
      <c r="A20" s="52" t="s">
        <v>656</v>
      </c>
      <c r="B20" s="40" t="s">
        <v>657</v>
      </c>
      <c r="C20" s="40" t="s">
        <v>653</v>
      </c>
      <c r="D20" s="40" t="s">
        <v>658</v>
      </c>
      <c r="E20" s="67" t="s">
        <v>659</v>
      </c>
      <c r="F20" s="40" t="s">
        <v>660</v>
      </c>
      <c r="G20" s="40" t="s">
        <v>5</v>
      </c>
      <c r="H20" s="39"/>
    </row>
    <row r="21">
      <c r="A21" s="52" t="s">
        <v>661</v>
      </c>
      <c r="B21" s="40" t="s">
        <v>662</v>
      </c>
      <c r="C21" s="40" t="s">
        <v>633</v>
      </c>
      <c r="D21" s="40" t="s">
        <v>663</v>
      </c>
      <c r="E21" s="67" t="s">
        <v>664</v>
      </c>
      <c r="F21" s="40" t="s">
        <v>31</v>
      </c>
      <c r="G21" s="40" t="s">
        <v>6</v>
      </c>
      <c r="H21" s="40" t="s">
        <v>665</v>
      </c>
    </row>
    <row r="22">
      <c r="A22" s="52" t="s">
        <v>666</v>
      </c>
      <c r="B22" s="40" t="s">
        <v>667</v>
      </c>
      <c r="C22" s="40" t="s">
        <v>668</v>
      </c>
      <c r="D22" s="40" t="s">
        <v>669</v>
      </c>
      <c r="E22" s="67" t="s">
        <v>670</v>
      </c>
      <c r="F22" s="40" t="s">
        <v>31</v>
      </c>
      <c r="G22" s="40" t="s">
        <v>6</v>
      </c>
      <c r="H22" s="39"/>
    </row>
    <row r="23">
      <c r="A23" s="52" t="s">
        <v>671</v>
      </c>
      <c r="B23" s="40" t="s">
        <v>672</v>
      </c>
      <c r="C23" s="40" t="s">
        <v>668</v>
      </c>
      <c r="D23" s="40" t="s">
        <v>673</v>
      </c>
      <c r="E23" s="67" t="s">
        <v>670</v>
      </c>
      <c r="F23" s="40" t="s">
        <v>31</v>
      </c>
      <c r="G23" s="40" t="s">
        <v>6</v>
      </c>
      <c r="H23" s="40" t="s">
        <v>674</v>
      </c>
    </row>
    <row r="24">
      <c r="A24" s="52" t="s">
        <v>675</v>
      </c>
      <c r="B24" s="40" t="s">
        <v>676</v>
      </c>
      <c r="C24" s="40" t="s">
        <v>668</v>
      </c>
      <c r="D24" s="40" t="s">
        <v>677</v>
      </c>
      <c r="E24" s="67" t="s">
        <v>670</v>
      </c>
      <c r="F24" s="40" t="s">
        <v>31</v>
      </c>
      <c r="G24" s="40" t="s">
        <v>6</v>
      </c>
      <c r="H24" s="39"/>
    </row>
    <row r="25">
      <c r="A25" s="52" t="s">
        <v>678</v>
      </c>
      <c r="B25" s="40" t="s">
        <v>679</v>
      </c>
      <c r="C25" s="40" t="s">
        <v>668</v>
      </c>
      <c r="D25" s="40" t="s">
        <v>680</v>
      </c>
      <c r="E25" s="67" t="s">
        <v>670</v>
      </c>
      <c r="F25" s="40" t="s">
        <v>31</v>
      </c>
      <c r="G25" s="40" t="s">
        <v>6</v>
      </c>
      <c r="H25" s="39"/>
    </row>
    <row r="26">
      <c r="A26" s="52" t="s">
        <v>681</v>
      </c>
      <c r="B26" s="40" t="s">
        <v>682</v>
      </c>
      <c r="C26" s="40" t="s">
        <v>668</v>
      </c>
      <c r="D26" s="40" t="s">
        <v>683</v>
      </c>
      <c r="E26" s="67" t="s">
        <v>670</v>
      </c>
      <c r="F26" s="40" t="s">
        <v>31</v>
      </c>
      <c r="G26" s="40" t="s">
        <v>6</v>
      </c>
      <c r="H26" s="39"/>
    </row>
    <row r="27">
      <c r="A27" s="52" t="s">
        <v>684</v>
      </c>
      <c r="B27" s="40" t="s">
        <v>685</v>
      </c>
      <c r="C27" s="40" t="s">
        <v>686</v>
      </c>
      <c r="D27" s="40" t="s">
        <v>687</v>
      </c>
      <c r="E27" s="67" t="s">
        <v>688</v>
      </c>
      <c r="F27" s="40" t="s">
        <v>31</v>
      </c>
      <c r="G27" s="40" t="s">
        <v>5</v>
      </c>
      <c r="H27" s="39"/>
    </row>
    <row r="28">
      <c r="A28" s="52" t="s">
        <v>689</v>
      </c>
      <c r="B28" s="40" t="s">
        <v>690</v>
      </c>
      <c r="C28" s="40" t="s">
        <v>668</v>
      </c>
      <c r="D28" s="40" t="s">
        <v>691</v>
      </c>
      <c r="E28" s="67" t="s">
        <v>692</v>
      </c>
      <c r="F28" s="40" t="s">
        <v>31</v>
      </c>
      <c r="G28" s="40" t="s">
        <v>5</v>
      </c>
      <c r="H28" s="39"/>
    </row>
    <row r="29">
      <c r="A29" s="52" t="s">
        <v>693</v>
      </c>
      <c r="B29" s="27" t="s">
        <v>694</v>
      </c>
      <c r="C29" s="40" t="s">
        <v>668</v>
      </c>
      <c r="D29" s="40" t="s">
        <v>695</v>
      </c>
      <c r="E29" s="67" t="s">
        <v>696</v>
      </c>
      <c r="F29" s="40" t="s">
        <v>31</v>
      </c>
      <c r="G29" s="40" t="s">
        <v>5</v>
      </c>
      <c r="H29" s="40" t="s">
        <v>697</v>
      </c>
    </row>
    <row r="30">
      <c r="A30" s="79" t="s">
        <v>698</v>
      </c>
      <c r="B30" s="80"/>
      <c r="C30" s="80"/>
      <c r="D30" s="80"/>
      <c r="E30" s="81"/>
      <c r="F30" s="80"/>
      <c r="G30" s="80"/>
      <c r="H30" s="82"/>
    </row>
    <row r="31">
      <c r="A31" s="52" t="s">
        <v>699</v>
      </c>
      <c r="B31" s="40" t="s">
        <v>700</v>
      </c>
      <c r="C31" s="40" t="s">
        <v>701</v>
      </c>
      <c r="D31" s="40" t="s">
        <v>702</v>
      </c>
      <c r="E31" s="67" t="s">
        <v>703</v>
      </c>
      <c r="F31" s="40" t="s">
        <v>31</v>
      </c>
      <c r="G31" s="40" t="s">
        <v>5</v>
      </c>
      <c r="H31" s="78"/>
    </row>
    <row r="32">
      <c r="A32" s="52" t="s">
        <v>704</v>
      </c>
      <c r="B32" s="40" t="s">
        <v>705</v>
      </c>
      <c r="C32" s="40" t="s">
        <v>701</v>
      </c>
      <c r="D32" s="40" t="s">
        <v>706</v>
      </c>
      <c r="E32" s="40" t="s">
        <v>707</v>
      </c>
      <c r="F32" s="40" t="s">
        <v>31</v>
      </c>
      <c r="G32" s="40" t="s">
        <v>5</v>
      </c>
      <c r="H32" s="46" t="s">
        <v>697</v>
      </c>
    </row>
    <row r="33">
      <c r="A33" s="52" t="s">
        <v>708</v>
      </c>
      <c r="B33" s="40" t="s">
        <v>709</v>
      </c>
      <c r="C33" s="40" t="s">
        <v>710</v>
      </c>
      <c r="D33" s="40" t="s">
        <v>711</v>
      </c>
      <c r="E33" s="40" t="s">
        <v>712</v>
      </c>
      <c r="F33" s="40" t="s">
        <v>31</v>
      </c>
      <c r="G33" s="40" t="s">
        <v>5</v>
      </c>
      <c r="H33" s="46" t="s">
        <v>713</v>
      </c>
    </row>
    <row r="34">
      <c r="A34" s="52" t="s">
        <v>714</v>
      </c>
      <c r="B34" s="40" t="s">
        <v>715</v>
      </c>
      <c r="C34" s="40" t="s">
        <v>716</v>
      </c>
      <c r="D34" s="40" t="s">
        <v>717</v>
      </c>
      <c r="E34" s="40" t="s">
        <v>718</v>
      </c>
      <c r="F34" s="40" t="s">
        <v>31</v>
      </c>
      <c r="G34" s="40" t="s">
        <v>5</v>
      </c>
      <c r="H34" s="78"/>
    </row>
    <row r="35">
      <c r="A35" s="83" t="s">
        <v>719</v>
      </c>
      <c r="B35" s="84"/>
      <c r="C35" s="84"/>
      <c r="D35" s="84"/>
      <c r="E35" s="84"/>
      <c r="F35" s="84"/>
      <c r="G35" s="84"/>
      <c r="H35" s="85"/>
    </row>
    <row r="36">
      <c r="A36" s="52" t="s">
        <v>720</v>
      </c>
      <c r="B36" s="40" t="s">
        <v>721</v>
      </c>
      <c r="C36" s="40" t="s">
        <v>722</v>
      </c>
      <c r="D36" s="40" t="s">
        <v>723</v>
      </c>
      <c r="E36" s="40" t="s">
        <v>724</v>
      </c>
      <c r="F36" s="41" t="s">
        <v>31</v>
      </c>
      <c r="G36" s="39" t="s">
        <v>5</v>
      </c>
      <c r="H36" s="46" t="s">
        <v>725</v>
      </c>
    </row>
    <row r="37">
      <c r="A37" s="52" t="s">
        <v>726</v>
      </c>
      <c r="B37" s="40" t="s">
        <v>727</v>
      </c>
      <c r="C37" s="40" t="s">
        <v>722</v>
      </c>
      <c r="D37" s="40" t="s">
        <v>728</v>
      </c>
      <c r="E37" s="40" t="s">
        <v>729</v>
      </c>
      <c r="F37" s="40" t="s">
        <v>31</v>
      </c>
      <c r="G37" s="40" t="s">
        <v>6</v>
      </c>
      <c r="H37" s="27" t="s">
        <v>725</v>
      </c>
    </row>
    <row r="38">
      <c r="A38" s="52" t="s">
        <v>730</v>
      </c>
      <c r="B38" s="40" t="s">
        <v>731</v>
      </c>
      <c r="C38" s="40" t="s">
        <v>722</v>
      </c>
      <c r="D38" s="40" t="s">
        <v>732</v>
      </c>
      <c r="E38" s="40" t="s">
        <v>733</v>
      </c>
      <c r="F38" s="41" t="s">
        <v>31</v>
      </c>
      <c r="G38" s="40" t="s">
        <v>6</v>
      </c>
      <c r="H38" s="46" t="s">
        <v>725</v>
      </c>
    </row>
    <row r="39">
      <c r="A39" s="52" t="s">
        <v>734</v>
      </c>
      <c r="B39" s="40" t="s">
        <v>735</v>
      </c>
      <c r="C39" s="40" t="s">
        <v>722</v>
      </c>
      <c r="D39" s="40" t="s">
        <v>736</v>
      </c>
      <c r="E39" s="40" t="s">
        <v>737</v>
      </c>
      <c r="F39" s="41" t="s">
        <v>31</v>
      </c>
      <c r="G39" s="40" t="s">
        <v>6</v>
      </c>
      <c r="H39" s="46" t="s">
        <v>725</v>
      </c>
    </row>
    <row r="40">
      <c r="A40" s="52" t="s">
        <v>738</v>
      </c>
      <c r="B40" s="40" t="s">
        <v>739</v>
      </c>
      <c r="C40" s="40" t="s">
        <v>722</v>
      </c>
      <c r="D40" s="40" t="s">
        <v>740</v>
      </c>
      <c r="E40" s="40" t="s">
        <v>741</v>
      </c>
      <c r="F40" s="41" t="s">
        <v>31</v>
      </c>
      <c r="G40" s="40" t="s">
        <v>6</v>
      </c>
      <c r="H40" s="46" t="s">
        <v>725</v>
      </c>
    </row>
    <row r="41">
      <c r="A41" s="52" t="s">
        <v>742</v>
      </c>
      <c r="B41" s="40" t="s">
        <v>743</v>
      </c>
      <c r="C41" s="40" t="s">
        <v>722</v>
      </c>
      <c r="D41" s="40" t="s">
        <v>744</v>
      </c>
      <c r="E41" s="40" t="s">
        <v>745</v>
      </c>
      <c r="F41" s="41" t="s">
        <v>31</v>
      </c>
      <c r="G41" s="40" t="s">
        <v>6</v>
      </c>
      <c r="H41" s="46" t="s">
        <v>725</v>
      </c>
    </row>
    <row r="42">
      <c r="A42" s="52" t="s">
        <v>746</v>
      </c>
      <c r="B42" s="40" t="s">
        <v>747</v>
      </c>
      <c r="C42" s="40" t="s">
        <v>722</v>
      </c>
      <c r="D42" s="40" t="s">
        <v>748</v>
      </c>
      <c r="E42" s="40" t="s">
        <v>749</v>
      </c>
      <c r="F42" s="41" t="s">
        <v>31</v>
      </c>
      <c r="G42" s="40" t="s">
        <v>6</v>
      </c>
      <c r="H42" s="46" t="s">
        <v>725</v>
      </c>
    </row>
    <row r="43">
      <c r="A43" s="52" t="s">
        <v>750</v>
      </c>
      <c r="B43" s="40" t="s">
        <v>751</v>
      </c>
      <c r="C43" s="40" t="s">
        <v>722</v>
      </c>
      <c r="D43" s="40" t="s">
        <v>752</v>
      </c>
      <c r="E43" s="40" t="s">
        <v>753</v>
      </c>
      <c r="F43" s="41" t="s">
        <v>31</v>
      </c>
      <c r="G43" s="40" t="s">
        <v>6</v>
      </c>
      <c r="H43" s="78"/>
    </row>
    <row r="44">
      <c r="A44" s="79" t="s">
        <v>754</v>
      </c>
      <c r="B44" s="80"/>
      <c r="C44" s="80"/>
      <c r="D44" s="80"/>
      <c r="E44" s="80"/>
      <c r="F44" s="86"/>
      <c r="G44" s="82"/>
      <c r="H44" s="87"/>
    </row>
    <row r="45">
      <c r="A45" s="52" t="s">
        <v>755</v>
      </c>
      <c r="B45" s="40" t="s">
        <v>756</v>
      </c>
      <c r="C45" s="40" t="s">
        <v>757</v>
      </c>
      <c r="D45" s="40" t="s">
        <v>758</v>
      </c>
      <c r="E45" s="40" t="s">
        <v>759</v>
      </c>
      <c r="F45" s="41" t="s">
        <v>31</v>
      </c>
      <c r="G45" s="40" t="s">
        <v>5</v>
      </c>
      <c r="H45" s="78"/>
    </row>
    <row r="46">
      <c r="A46" s="52" t="s">
        <v>760</v>
      </c>
      <c r="B46" s="40" t="s">
        <v>761</v>
      </c>
      <c r="C46" s="40" t="s">
        <v>757</v>
      </c>
      <c r="D46" s="40" t="s">
        <v>762</v>
      </c>
      <c r="E46" s="40" t="s">
        <v>763</v>
      </c>
      <c r="F46" s="41" t="s">
        <v>31</v>
      </c>
      <c r="G46" s="40" t="s">
        <v>5</v>
      </c>
      <c r="H46" s="78"/>
    </row>
    <row r="47">
      <c r="A47" s="52" t="s">
        <v>764</v>
      </c>
      <c r="B47" s="59" t="s">
        <v>765</v>
      </c>
      <c r="C47" s="40" t="s">
        <v>757</v>
      </c>
      <c r="D47" s="40" t="s">
        <v>758</v>
      </c>
      <c r="E47" s="40" t="s">
        <v>766</v>
      </c>
      <c r="F47" s="41" t="s">
        <v>31</v>
      </c>
      <c r="G47" s="40" t="s">
        <v>5</v>
      </c>
      <c r="H47" s="78"/>
    </row>
    <row r="48">
      <c r="A48" s="52" t="s">
        <v>767</v>
      </c>
      <c r="B48" s="67" t="s">
        <v>768</v>
      </c>
      <c r="C48" s="40" t="s">
        <v>633</v>
      </c>
      <c r="D48" s="40" t="s">
        <v>769</v>
      </c>
      <c r="E48" s="40" t="s">
        <v>770</v>
      </c>
      <c r="F48" s="41" t="s">
        <v>31</v>
      </c>
      <c r="G48" s="40" t="s">
        <v>5</v>
      </c>
      <c r="H48" s="78"/>
    </row>
    <row r="49">
      <c r="A49" s="79" t="s">
        <v>771</v>
      </c>
      <c r="B49" s="88"/>
      <c r="C49" s="80"/>
      <c r="D49" s="80"/>
      <c r="E49" s="80"/>
      <c r="F49" s="86"/>
      <c r="G49" s="80"/>
      <c r="H49" s="87"/>
    </row>
    <row r="50">
      <c r="A50" s="52" t="s">
        <v>767</v>
      </c>
      <c r="B50" s="59" t="s">
        <v>772</v>
      </c>
      <c r="C50" s="40" t="s">
        <v>773</v>
      </c>
      <c r="D50" s="40" t="s">
        <v>774</v>
      </c>
      <c r="E50" s="40" t="s">
        <v>775</v>
      </c>
      <c r="F50" s="41" t="s">
        <v>31</v>
      </c>
      <c r="G50" s="40" t="s">
        <v>5</v>
      </c>
      <c r="H50" s="78"/>
    </row>
    <row r="51">
      <c r="A51" s="52" t="s">
        <v>776</v>
      </c>
      <c r="B51" s="59" t="s">
        <v>777</v>
      </c>
      <c r="C51" s="40" t="s">
        <v>773</v>
      </c>
      <c r="D51" s="40" t="s">
        <v>778</v>
      </c>
      <c r="E51" s="40" t="s">
        <v>779</v>
      </c>
      <c r="F51" s="41" t="s">
        <v>31</v>
      </c>
      <c r="G51" s="40" t="s">
        <v>6</v>
      </c>
      <c r="H51" s="46" t="s">
        <v>780</v>
      </c>
    </row>
    <row r="52">
      <c r="A52" s="52" t="s">
        <v>781</v>
      </c>
      <c r="B52" s="59" t="s">
        <v>782</v>
      </c>
      <c r="C52" s="40" t="s">
        <v>773</v>
      </c>
      <c r="D52" s="40" t="s">
        <v>783</v>
      </c>
      <c r="E52" s="40" t="s">
        <v>784</v>
      </c>
      <c r="F52" s="41" t="s">
        <v>31</v>
      </c>
      <c r="G52" s="40" t="s">
        <v>6</v>
      </c>
      <c r="H52" s="27" t="s">
        <v>780</v>
      </c>
    </row>
    <row r="53">
      <c r="A53" s="52" t="s">
        <v>785</v>
      </c>
      <c r="B53" s="59" t="s">
        <v>786</v>
      </c>
      <c r="C53" s="40" t="s">
        <v>787</v>
      </c>
      <c r="D53" s="40" t="s">
        <v>788</v>
      </c>
      <c r="E53" s="40" t="s">
        <v>789</v>
      </c>
      <c r="F53" s="41" t="s">
        <v>31</v>
      </c>
      <c r="G53" s="40" t="s">
        <v>5</v>
      </c>
      <c r="H53" s="27" t="s">
        <v>780</v>
      </c>
    </row>
    <row r="54">
      <c r="A54" s="79" t="s">
        <v>790</v>
      </c>
      <c r="B54" s="88"/>
      <c r="C54" s="80"/>
      <c r="D54" s="80"/>
      <c r="E54" s="80"/>
      <c r="F54" s="86"/>
      <c r="G54" s="80"/>
      <c r="H54" s="87"/>
    </row>
    <row r="55">
      <c r="A55" s="52" t="s">
        <v>791</v>
      </c>
      <c r="B55" s="59" t="s">
        <v>792</v>
      </c>
      <c r="C55" s="40" t="s">
        <v>773</v>
      </c>
      <c r="D55" s="40" t="s">
        <v>793</v>
      </c>
      <c r="E55" s="40" t="s">
        <v>794</v>
      </c>
      <c r="F55" s="41" t="s">
        <v>31</v>
      </c>
      <c r="G55" s="40" t="s">
        <v>5</v>
      </c>
      <c r="H55" s="78"/>
    </row>
    <row r="56">
      <c r="A56" s="52" t="s">
        <v>795</v>
      </c>
      <c r="B56" s="40" t="s">
        <v>796</v>
      </c>
      <c r="C56" s="40" t="s">
        <v>797</v>
      </c>
      <c r="D56" s="40" t="s">
        <v>798</v>
      </c>
      <c r="E56" s="40" t="s">
        <v>799</v>
      </c>
      <c r="F56" s="40" t="s">
        <v>31</v>
      </c>
      <c r="G56" s="40" t="s">
        <v>6</v>
      </c>
      <c r="H56" s="46" t="s">
        <v>800</v>
      </c>
    </row>
    <row r="57">
      <c r="A57" s="52" t="s">
        <v>801</v>
      </c>
      <c r="B57" s="40" t="s">
        <v>802</v>
      </c>
      <c r="C57" s="40" t="s">
        <v>797</v>
      </c>
      <c r="D57" s="40" t="s">
        <v>803</v>
      </c>
      <c r="E57" s="40" t="s">
        <v>804</v>
      </c>
      <c r="F57" s="40" t="s">
        <v>31</v>
      </c>
      <c r="G57" s="40" t="s">
        <v>5</v>
      </c>
      <c r="H57" s="27" t="s">
        <v>800</v>
      </c>
    </row>
    <row r="58">
      <c r="A58" s="52" t="s">
        <v>805</v>
      </c>
      <c r="B58" s="40" t="s">
        <v>806</v>
      </c>
      <c r="C58" s="40" t="s">
        <v>807</v>
      </c>
      <c r="D58" s="40" t="s">
        <v>798</v>
      </c>
      <c r="E58" s="40" t="s">
        <v>808</v>
      </c>
      <c r="F58" s="40" t="s">
        <v>31</v>
      </c>
      <c r="G58" s="40" t="s">
        <v>5</v>
      </c>
      <c r="H58" s="46" t="s">
        <v>800</v>
      </c>
    </row>
    <row r="59">
      <c r="H59" s="28"/>
    </row>
    <row r="60">
      <c r="H60" s="28"/>
    </row>
    <row r="61">
      <c r="H61" s="28"/>
    </row>
    <row r="62">
      <c r="H62" s="28"/>
    </row>
    <row r="63">
      <c r="H63" s="28"/>
    </row>
    <row r="64">
      <c r="H64" s="28"/>
    </row>
    <row r="65">
      <c r="H65" s="28"/>
    </row>
    <row r="66">
      <c r="H66" s="28"/>
    </row>
    <row r="67">
      <c r="H67" s="28"/>
    </row>
    <row r="68">
      <c r="H68" s="28"/>
    </row>
    <row r="69">
      <c r="H69" s="28"/>
    </row>
    <row r="70">
      <c r="H70" s="28"/>
    </row>
    <row r="71">
      <c r="H71" s="28"/>
    </row>
    <row r="72">
      <c r="H72" s="28"/>
    </row>
    <row r="73">
      <c r="H73" s="28"/>
    </row>
    <row r="74">
      <c r="H74" s="28"/>
    </row>
    <row r="75">
      <c r="H75" s="28"/>
    </row>
    <row r="76">
      <c r="H76" s="28"/>
    </row>
    <row r="77">
      <c r="H77" s="28"/>
    </row>
    <row r="78">
      <c r="H78" s="28"/>
    </row>
    <row r="79">
      <c r="H79" s="28"/>
    </row>
    <row r="80">
      <c r="H80" s="28"/>
    </row>
    <row r="81">
      <c r="H81" s="28"/>
    </row>
    <row r="82">
      <c r="H82" s="28"/>
    </row>
    <row r="83">
      <c r="H83" s="28"/>
    </row>
    <row r="84">
      <c r="H84" s="28"/>
    </row>
    <row r="85">
      <c r="H85" s="28"/>
    </row>
    <row r="86">
      <c r="H86" s="28"/>
    </row>
    <row r="87">
      <c r="H87" s="28"/>
    </row>
    <row r="88">
      <c r="H88" s="28"/>
    </row>
    <row r="89">
      <c r="H89" s="28"/>
    </row>
    <row r="90">
      <c r="H90" s="28"/>
    </row>
    <row r="91">
      <c r="H91" s="28"/>
    </row>
    <row r="92">
      <c r="H92" s="28"/>
    </row>
    <row r="93">
      <c r="H93" s="28"/>
    </row>
    <row r="94">
      <c r="H94" s="28"/>
    </row>
    <row r="95">
      <c r="H95" s="28"/>
    </row>
    <row r="96">
      <c r="H96" s="28"/>
    </row>
    <row r="97">
      <c r="H97" s="28"/>
    </row>
    <row r="98">
      <c r="H98" s="28"/>
    </row>
    <row r="99">
      <c r="H99" s="28"/>
    </row>
    <row r="100">
      <c r="H100" s="28"/>
    </row>
    <row r="101">
      <c r="H101" s="28"/>
    </row>
    <row r="102">
      <c r="H102" s="28"/>
    </row>
    <row r="103">
      <c r="H103" s="28"/>
    </row>
    <row r="104">
      <c r="H104" s="28"/>
    </row>
    <row r="105">
      <c r="H105" s="28"/>
    </row>
    <row r="106">
      <c r="H106" s="28"/>
    </row>
    <row r="107">
      <c r="H107" s="28"/>
    </row>
    <row r="108">
      <c r="H108" s="28"/>
    </row>
    <row r="109">
      <c r="H109" s="28"/>
    </row>
    <row r="110">
      <c r="H110" s="28"/>
    </row>
    <row r="111">
      <c r="H111" s="28"/>
    </row>
    <row r="112">
      <c r="H112" s="28"/>
    </row>
    <row r="113">
      <c r="H113" s="28"/>
    </row>
    <row r="114">
      <c r="H114" s="28"/>
    </row>
    <row r="115">
      <c r="H115" s="28"/>
    </row>
    <row r="116">
      <c r="H116" s="28"/>
    </row>
    <row r="117">
      <c r="H117" s="28"/>
    </row>
    <row r="118">
      <c r="H118" s="28"/>
    </row>
    <row r="119">
      <c r="H119" s="28"/>
    </row>
    <row r="120">
      <c r="H120" s="28"/>
    </row>
    <row r="121">
      <c r="H121" s="28"/>
    </row>
    <row r="122">
      <c r="H122" s="28"/>
    </row>
    <row r="123">
      <c r="H123" s="28"/>
    </row>
    <row r="124">
      <c r="H124" s="28"/>
    </row>
    <row r="125">
      <c r="H125" s="28"/>
    </row>
    <row r="126">
      <c r="H126" s="28"/>
    </row>
    <row r="127">
      <c r="H127" s="28"/>
    </row>
    <row r="128">
      <c r="H128" s="28"/>
    </row>
    <row r="129">
      <c r="H129" s="28"/>
    </row>
    <row r="130">
      <c r="H130" s="28"/>
    </row>
    <row r="131">
      <c r="H131" s="28"/>
    </row>
    <row r="132">
      <c r="H132" s="28"/>
    </row>
    <row r="133">
      <c r="H133" s="28"/>
    </row>
    <row r="134">
      <c r="H134" s="28"/>
    </row>
    <row r="135">
      <c r="H135" s="28"/>
    </row>
    <row r="136">
      <c r="H136" s="28"/>
    </row>
    <row r="137">
      <c r="H137" s="28"/>
    </row>
    <row r="138">
      <c r="H138" s="28"/>
    </row>
    <row r="139">
      <c r="H139" s="28"/>
    </row>
    <row r="140">
      <c r="H140" s="28"/>
    </row>
    <row r="141">
      <c r="H141" s="28"/>
    </row>
    <row r="142">
      <c r="H142" s="28"/>
    </row>
    <row r="143">
      <c r="H143" s="28"/>
    </row>
    <row r="144">
      <c r="H144" s="28"/>
    </row>
    <row r="145">
      <c r="H145" s="28"/>
    </row>
    <row r="146">
      <c r="H146" s="28"/>
    </row>
    <row r="147">
      <c r="H147" s="28"/>
    </row>
    <row r="148">
      <c r="H148" s="28"/>
    </row>
    <row r="149">
      <c r="H149" s="28"/>
    </row>
    <row r="150">
      <c r="H150" s="28"/>
    </row>
    <row r="151">
      <c r="H151" s="28"/>
    </row>
    <row r="152">
      <c r="H152" s="28"/>
    </row>
    <row r="153">
      <c r="H153" s="28"/>
    </row>
    <row r="154">
      <c r="H154" s="28"/>
    </row>
    <row r="155">
      <c r="H155" s="28"/>
    </row>
    <row r="156">
      <c r="H156" s="28"/>
    </row>
    <row r="157">
      <c r="H157" s="28"/>
    </row>
    <row r="158">
      <c r="H158" s="28"/>
    </row>
    <row r="159">
      <c r="H159" s="28"/>
    </row>
    <row r="160">
      <c r="H160" s="28"/>
    </row>
    <row r="161">
      <c r="H161" s="28"/>
    </row>
    <row r="162">
      <c r="H162" s="28"/>
    </row>
    <row r="163">
      <c r="H163" s="28"/>
    </row>
    <row r="164">
      <c r="H164" s="28"/>
    </row>
    <row r="165">
      <c r="H165" s="28"/>
    </row>
    <row r="166">
      <c r="H166" s="28"/>
    </row>
    <row r="167">
      <c r="H167" s="28"/>
    </row>
    <row r="168">
      <c r="H168" s="28"/>
    </row>
    <row r="169">
      <c r="H169" s="28"/>
    </row>
    <row r="170">
      <c r="H170" s="28"/>
    </row>
    <row r="171">
      <c r="H171" s="28"/>
    </row>
    <row r="172">
      <c r="H172" s="28"/>
    </row>
    <row r="173">
      <c r="H173" s="28"/>
    </row>
    <row r="174">
      <c r="H174" s="28"/>
    </row>
    <row r="175">
      <c r="H175" s="28"/>
    </row>
    <row r="176">
      <c r="H176" s="28"/>
    </row>
    <row r="177">
      <c r="H177" s="28"/>
    </row>
    <row r="178">
      <c r="H178" s="28"/>
    </row>
    <row r="179">
      <c r="H179" s="28"/>
    </row>
    <row r="180">
      <c r="H180" s="28"/>
    </row>
    <row r="181">
      <c r="H181" s="28"/>
    </row>
    <row r="182">
      <c r="H182" s="28"/>
    </row>
    <row r="183">
      <c r="H183" s="28"/>
    </row>
    <row r="184">
      <c r="H184" s="28"/>
    </row>
    <row r="185">
      <c r="H185" s="28"/>
    </row>
    <row r="186">
      <c r="H186" s="28"/>
    </row>
    <row r="187">
      <c r="H187" s="28"/>
    </row>
    <row r="188">
      <c r="H188" s="28"/>
    </row>
    <row r="189">
      <c r="H189" s="28"/>
    </row>
    <row r="190">
      <c r="H190" s="28"/>
    </row>
    <row r="191">
      <c r="H191" s="28"/>
    </row>
    <row r="192">
      <c r="H192" s="28"/>
    </row>
    <row r="193">
      <c r="H193" s="28"/>
    </row>
    <row r="194">
      <c r="H194" s="28"/>
    </row>
    <row r="195">
      <c r="H195" s="28"/>
    </row>
    <row r="196">
      <c r="H196" s="28"/>
    </row>
    <row r="197">
      <c r="H197" s="28"/>
    </row>
    <row r="198">
      <c r="H198" s="28"/>
    </row>
    <row r="199">
      <c r="H199" s="28"/>
    </row>
    <row r="200">
      <c r="H200" s="28"/>
    </row>
    <row r="201">
      <c r="H201" s="28"/>
    </row>
    <row r="202">
      <c r="H202" s="28"/>
    </row>
    <row r="203">
      <c r="H203" s="28"/>
    </row>
    <row r="204">
      <c r="H204" s="28"/>
    </row>
    <row r="205">
      <c r="H205" s="28"/>
    </row>
    <row r="206">
      <c r="H206" s="28"/>
    </row>
    <row r="207">
      <c r="H207" s="28"/>
    </row>
    <row r="208">
      <c r="H208" s="28"/>
    </row>
    <row r="209">
      <c r="H209" s="28"/>
    </row>
    <row r="210">
      <c r="H210" s="28"/>
    </row>
    <row r="211">
      <c r="H211" s="28"/>
    </row>
    <row r="212">
      <c r="H212" s="28"/>
    </row>
    <row r="213">
      <c r="H213" s="28"/>
    </row>
    <row r="214">
      <c r="H214" s="28"/>
    </row>
    <row r="215">
      <c r="H215" s="28"/>
    </row>
    <row r="216">
      <c r="H216" s="28"/>
    </row>
    <row r="217">
      <c r="H217" s="28"/>
    </row>
    <row r="218">
      <c r="H218" s="28"/>
    </row>
    <row r="219">
      <c r="H219" s="28"/>
    </row>
    <row r="220">
      <c r="H220" s="28"/>
    </row>
    <row r="221">
      <c r="H221" s="28"/>
    </row>
    <row r="222">
      <c r="H222" s="28"/>
    </row>
    <row r="223">
      <c r="H223" s="28"/>
    </row>
    <row r="224">
      <c r="H224" s="28"/>
    </row>
    <row r="225">
      <c r="H225" s="28"/>
    </row>
    <row r="226">
      <c r="H226" s="28"/>
    </row>
    <row r="227">
      <c r="H227" s="28"/>
    </row>
    <row r="228">
      <c r="H228" s="28"/>
    </row>
    <row r="229">
      <c r="H229" s="28"/>
    </row>
    <row r="230">
      <c r="H230" s="28"/>
    </row>
    <row r="231">
      <c r="H231" s="28"/>
    </row>
    <row r="232">
      <c r="H232" s="28"/>
    </row>
    <row r="233">
      <c r="H233" s="28"/>
    </row>
    <row r="234">
      <c r="H234" s="28"/>
    </row>
    <row r="235">
      <c r="H235" s="28"/>
    </row>
    <row r="236">
      <c r="H236" s="28"/>
    </row>
    <row r="237">
      <c r="H237" s="28"/>
    </row>
    <row r="238">
      <c r="H238" s="28"/>
    </row>
    <row r="239">
      <c r="H239" s="28"/>
    </row>
    <row r="240">
      <c r="H240" s="28"/>
    </row>
    <row r="241">
      <c r="H241" s="28"/>
    </row>
    <row r="242">
      <c r="H242" s="28"/>
    </row>
    <row r="243">
      <c r="H243" s="28"/>
    </row>
    <row r="244">
      <c r="H244" s="28"/>
    </row>
    <row r="245">
      <c r="H245" s="28"/>
    </row>
    <row r="246">
      <c r="H246" s="28"/>
    </row>
    <row r="247">
      <c r="H247" s="28"/>
    </row>
    <row r="248">
      <c r="H248" s="28"/>
    </row>
    <row r="249">
      <c r="H249" s="28"/>
    </row>
    <row r="250">
      <c r="H250" s="28"/>
    </row>
    <row r="251">
      <c r="H251" s="28"/>
    </row>
    <row r="252">
      <c r="H252" s="28"/>
    </row>
    <row r="253">
      <c r="H253" s="28"/>
    </row>
    <row r="254">
      <c r="H254" s="28"/>
    </row>
    <row r="255">
      <c r="H255" s="28"/>
    </row>
    <row r="256">
      <c r="H256" s="28"/>
    </row>
    <row r="257">
      <c r="H257" s="28"/>
    </row>
    <row r="258">
      <c r="H258" s="28"/>
    </row>
    <row r="259">
      <c r="H259" s="28"/>
    </row>
    <row r="260">
      <c r="H260" s="28"/>
    </row>
    <row r="261">
      <c r="H261" s="28"/>
    </row>
    <row r="262">
      <c r="H262" s="28"/>
    </row>
    <row r="263">
      <c r="H263" s="28"/>
    </row>
    <row r="264">
      <c r="H264" s="28"/>
    </row>
    <row r="265">
      <c r="H265" s="28"/>
    </row>
    <row r="266">
      <c r="H266" s="28"/>
    </row>
    <row r="267">
      <c r="H267" s="28"/>
    </row>
    <row r="268">
      <c r="H268" s="28"/>
    </row>
    <row r="269">
      <c r="H269" s="28"/>
    </row>
    <row r="270">
      <c r="H270" s="28"/>
    </row>
    <row r="271">
      <c r="H271" s="28"/>
    </row>
    <row r="272">
      <c r="H272" s="28"/>
    </row>
    <row r="273">
      <c r="H273" s="28"/>
    </row>
    <row r="274">
      <c r="H274" s="28"/>
    </row>
    <row r="275">
      <c r="H275" s="28"/>
    </row>
    <row r="276">
      <c r="H276" s="28"/>
    </row>
    <row r="277">
      <c r="H277" s="28"/>
    </row>
    <row r="278">
      <c r="H278" s="28"/>
    </row>
    <row r="279">
      <c r="H279" s="28"/>
    </row>
    <row r="280">
      <c r="H280" s="28"/>
    </row>
    <row r="281">
      <c r="H281" s="28"/>
    </row>
    <row r="282">
      <c r="H282" s="28"/>
    </row>
    <row r="283">
      <c r="H283" s="28"/>
    </row>
    <row r="284">
      <c r="H284" s="28"/>
    </row>
    <row r="285">
      <c r="H285" s="28"/>
    </row>
    <row r="286">
      <c r="H286" s="28"/>
    </row>
    <row r="287">
      <c r="H287" s="28"/>
    </row>
    <row r="288">
      <c r="H288" s="28"/>
    </row>
    <row r="289">
      <c r="H289" s="28"/>
    </row>
    <row r="290">
      <c r="H290" s="28"/>
    </row>
    <row r="291">
      <c r="H291" s="28"/>
    </row>
    <row r="292">
      <c r="H292" s="28"/>
    </row>
    <row r="293">
      <c r="H293" s="28"/>
    </row>
    <row r="294">
      <c r="H294" s="28"/>
    </row>
    <row r="295">
      <c r="H295" s="28"/>
    </row>
    <row r="296">
      <c r="H296" s="28"/>
    </row>
    <row r="297">
      <c r="H297" s="28"/>
    </row>
    <row r="298">
      <c r="H298" s="28"/>
    </row>
    <row r="299">
      <c r="H299" s="28"/>
    </row>
    <row r="300">
      <c r="H300" s="28"/>
    </row>
    <row r="301">
      <c r="H301" s="28"/>
    </row>
    <row r="302">
      <c r="H302" s="28"/>
    </row>
    <row r="303">
      <c r="H303" s="28"/>
    </row>
    <row r="304">
      <c r="H304" s="28"/>
    </row>
    <row r="305">
      <c r="H305" s="28"/>
    </row>
    <row r="306">
      <c r="H306" s="28"/>
    </row>
    <row r="307">
      <c r="H307" s="28"/>
    </row>
    <row r="308">
      <c r="H308" s="28"/>
    </row>
    <row r="309">
      <c r="H309" s="28"/>
    </row>
    <row r="310">
      <c r="H310" s="28"/>
    </row>
    <row r="311">
      <c r="H311" s="28"/>
    </row>
    <row r="312">
      <c r="H312" s="28"/>
    </row>
    <row r="313">
      <c r="H313" s="28"/>
    </row>
    <row r="314">
      <c r="H314" s="28"/>
    </row>
    <row r="315">
      <c r="H315" s="28"/>
    </row>
    <row r="316">
      <c r="H316" s="28"/>
    </row>
    <row r="317">
      <c r="H317" s="28"/>
    </row>
    <row r="318">
      <c r="H318" s="28"/>
    </row>
    <row r="319">
      <c r="H319" s="28"/>
    </row>
    <row r="320">
      <c r="H320" s="28"/>
    </row>
    <row r="321">
      <c r="H321" s="28"/>
    </row>
    <row r="322">
      <c r="H322" s="28"/>
    </row>
    <row r="323">
      <c r="H323" s="28"/>
    </row>
    <row r="324">
      <c r="H324" s="28"/>
    </row>
    <row r="325">
      <c r="H325" s="28"/>
    </row>
    <row r="326">
      <c r="H326" s="28"/>
    </row>
    <row r="327">
      <c r="H327" s="28"/>
    </row>
    <row r="328">
      <c r="H328" s="28"/>
    </row>
    <row r="329">
      <c r="H329" s="28"/>
    </row>
    <row r="330">
      <c r="H330" s="28"/>
    </row>
    <row r="331">
      <c r="H331" s="28"/>
    </row>
    <row r="332">
      <c r="H332" s="28"/>
    </row>
    <row r="333">
      <c r="H333" s="28"/>
    </row>
    <row r="334">
      <c r="H334" s="28"/>
    </row>
    <row r="335">
      <c r="H335" s="28"/>
    </row>
    <row r="336">
      <c r="H336" s="28"/>
    </row>
    <row r="337">
      <c r="H337" s="28"/>
    </row>
    <row r="338">
      <c r="H338" s="28"/>
    </row>
    <row r="339">
      <c r="H339" s="28"/>
    </row>
    <row r="340">
      <c r="H340" s="28"/>
    </row>
    <row r="341">
      <c r="H341" s="28"/>
    </row>
    <row r="342">
      <c r="H342" s="28"/>
    </row>
    <row r="343">
      <c r="H343" s="28"/>
    </row>
    <row r="344">
      <c r="H344" s="28"/>
    </row>
    <row r="345">
      <c r="H345" s="28"/>
    </row>
    <row r="346">
      <c r="H346" s="28"/>
    </row>
    <row r="347">
      <c r="H347" s="28"/>
    </row>
    <row r="348">
      <c r="H348" s="28"/>
    </row>
    <row r="349">
      <c r="H349" s="28"/>
    </row>
    <row r="350">
      <c r="H350" s="28"/>
    </row>
    <row r="351">
      <c r="H351" s="28"/>
    </row>
    <row r="352">
      <c r="H352" s="28"/>
    </row>
    <row r="353">
      <c r="H353" s="28"/>
    </row>
    <row r="354">
      <c r="H354" s="28"/>
    </row>
    <row r="355">
      <c r="H355" s="28"/>
    </row>
    <row r="356">
      <c r="H356" s="28"/>
    </row>
    <row r="357">
      <c r="H357" s="28"/>
    </row>
    <row r="358">
      <c r="H358" s="28"/>
    </row>
    <row r="359">
      <c r="H359" s="28"/>
    </row>
    <row r="360">
      <c r="H360" s="28"/>
    </row>
    <row r="361">
      <c r="H361" s="28"/>
    </row>
    <row r="362">
      <c r="H362" s="28"/>
    </row>
    <row r="363">
      <c r="H363" s="28"/>
    </row>
    <row r="364">
      <c r="H364" s="28"/>
    </row>
    <row r="365">
      <c r="H365" s="28"/>
    </row>
    <row r="366">
      <c r="H366" s="28"/>
    </row>
    <row r="367">
      <c r="H367" s="28"/>
    </row>
    <row r="368">
      <c r="H368" s="28"/>
    </row>
    <row r="369">
      <c r="H369" s="28"/>
    </row>
    <row r="370">
      <c r="H370" s="28"/>
    </row>
    <row r="371">
      <c r="H371" s="28"/>
    </row>
    <row r="372">
      <c r="H372" s="28"/>
    </row>
    <row r="373">
      <c r="H373" s="28"/>
    </row>
    <row r="374">
      <c r="H374" s="28"/>
    </row>
    <row r="375">
      <c r="H375" s="28"/>
    </row>
    <row r="376">
      <c r="H376" s="28"/>
    </row>
    <row r="377">
      <c r="H377" s="28"/>
    </row>
    <row r="378">
      <c r="H378" s="28"/>
    </row>
    <row r="379">
      <c r="H379" s="28"/>
    </row>
    <row r="380">
      <c r="H380" s="28"/>
    </row>
    <row r="381">
      <c r="H381" s="28"/>
    </row>
    <row r="382">
      <c r="H382" s="28"/>
    </row>
    <row r="383">
      <c r="H383" s="28"/>
    </row>
    <row r="384">
      <c r="H384" s="28"/>
    </row>
    <row r="385">
      <c r="H385" s="28"/>
    </row>
    <row r="386">
      <c r="H386" s="28"/>
    </row>
    <row r="387">
      <c r="H387" s="28"/>
    </row>
    <row r="388">
      <c r="H388" s="28"/>
    </row>
    <row r="389">
      <c r="H389" s="28"/>
    </row>
    <row r="390">
      <c r="H390" s="28"/>
    </row>
    <row r="391">
      <c r="H391" s="28"/>
    </row>
    <row r="392">
      <c r="H392" s="28"/>
    </row>
    <row r="393">
      <c r="H393" s="28"/>
    </row>
    <row r="394">
      <c r="H394" s="28"/>
    </row>
    <row r="395">
      <c r="H395" s="28"/>
    </row>
    <row r="396">
      <c r="H396" s="28"/>
    </row>
    <row r="397">
      <c r="H397" s="28"/>
    </row>
    <row r="398">
      <c r="H398" s="28"/>
    </row>
    <row r="399">
      <c r="H399" s="28"/>
    </row>
    <row r="400">
      <c r="H400" s="28"/>
    </row>
    <row r="401">
      <c r="H401" s="28"/>
    </row>
    <row r="402">
      <c r="H402" s="28"/>
    </row>
    <row r="403">
      <c r="H403" s="28"/>
    </row>
    <row r="404">
      <c r="H404" s="28"/>
    </row>
    <row r="405">
      <c r="H405" s="28"/>
    </row>
    <row r="406">
      <c r="H406" s="28"/>
    </row>
    <row r="407">
      <c r="H407" s="28"/>
    </row>
    <row r="408">
      <c r="H408" s="28"/>
    </row>
    <row r="409">
      <c r="H409" s="28"/>
    </row>
    <row r="410">
      <c r="H410" s="28"/>
    </row>
    <row r="411">
      <c r="H411" s="28"/>
    </row>
    <row r="412">
      <c r="H412" s="28"/>
    </row>
    <row r="413">
      <c r="H413" s="28"/>
    </row>
    <row r="414">
      <c r="H414" s="28"/>
    </row>
    <row r="415">
      <c r="H415" s="28"/>
    </row>
    <row r="416">
      <c r="H416" s="28"/>
    </row>
    <row r="417">
      <c r="H417" s="28"/>
    </row>
    <row r="418">
      <c r="H418" s="28"/>
    </row>
    <row r="419">
      <c r="H419" s="28"/>
    </row>
    <row r="420">
      <c r="H420" s="28"/>
    </row>
    <row r="421">
      <c r="H421" s="28"/>
    </row>
    <row r="422">
      <c r="H422" s="28"/>
    </row>
    <row r="423">
      <c r="H423" s="28"/>
    </row>
    <row r="424">
      <c r="H424" s="28"/>
    </row>
    <row r="425">
      <c r="H425" s="28"/>
    </row>
    <row r="426">
      <c r="H426" s="28"/>
    </row>
    <row r="427">
      <c r="H427" s="28"/>
    </row>
    <row r="428">
      <c r="H428" s="28"/>
    </row>
    <row r="429">
      <c r="H429" s="28"/>
    </row>
    <row r="430">
      <c r="H430" s="28"/>
    </row>
    <row r="431">
      <c r="H431" s="28"/>
    </row>
    <row r="432">
      <c r="H432" s="28"/>
    </row>
    <row r="433">
      <c r="H433" s="28"/>
    </row>
    <row r="434">
      <c r="H434" s="28"/>
    </row>
    <row r="435">
      <c r="H435" s="28"/>
    </row>
    <row r="436">
      <c r="H436" s="28"/>
    </row>
    <row r="437">
      <c r="H437" s="28"/>
    </row>
    <row r="438">
      <c r="H438" s="28"/>
    </row>
    <row r="439">
      <c r="H439" s="28"/>
    </row>
    <row r="440">
      <c r="H440" s="28"/>
    </row>
    <row r="441">
      <c r="H441" s="28"/>
    </row>
    <row r="442">
      <c r="H442" s="28"/>
    </row>
    <row r="443">
      <c r="H443" s="28"/>
    </row>
    <row r="444">
      <c r="H444" s="28"/>
    </row>
    <row r="445">
      <c r="H445" s="28"/>
    </row>
    <row r="446">
      <c r="H446" s="28"/>
    </row>
    <row r="447">
      <c r="H447" s="28"/>
    </row>
    <row r="448">
      <c r="H448" s="28"/>
    </row>
    <row r="449">
      <c r="H449" s="28"/>
    </row>
    <row r="450">
      <c r="H450" s="28"/>
    </row>
    <row r="451">
      <c r="H451" s="28"/>
    </row>
    <row r="452">
      <c r="H452" s="28"/>
    </row>
    <row r="453">
      <c r="H453" s="28"/>
    </row>
    <row r="454">
      <c r="H454" s="28"/>
    </row>
    <row r="455">
      <c r="H455" s="28"/>
    </row>
    <row r="456">
      <c r="H456" s="28"/>
    </row>
    <row r="457">
      <c r="H457" s="28"/>
    </row>
    <row r="458">
      <c r="H458" s="28"/>
    </row>
    <row r="459">
      <c r="H459" s="28"/>
    </row>
    <row r="460">
      <c r="H460" s="28"/>
    </row>
    <row r="461">
      <c r="H461" s="28"/>
    </row>
    <row r="462">
      <c r="H462" s="28"/>
    </row>
    <row r="463">
      <c r="H463" s="28"/>
    </row>
    <row r="464">
      <c r="H464" s="28"/>
    </row>
    <row r="465">
      <c r="H465" s="28"/>
    </row>
    <row r="466">
      <c r="H466" s="28"/>
    </row>
    <row r="467">
      <c r="H467" s="28"/>
    </row>
    <row r="468">
      <c r="H468" s="28"/>
    </row>
    <row r="469">
      <c r="H469" s="28"/>
    </row>
    <row r="470">
      <c r="H470" s="28"/>
    </row>
    <row r="471">
      <c r="H471" s="28"/>
    </row>
    <row r="472">
      <c r="H472" s="28"/>
    </row>
    <row r="473">
      <c r="H473" s="28"/>
    </row>
    <row r="474">
      <c r="H474" s="28"/>
    </row>
    <row r="475">
      <c r="H475" s="28"/>
    </row>
    <row r="476">
      <c r="H476" s="28"/>
    </row>
    <row r="477">
      <c r="H477" s="28"/>
    </row>
    <row r="478">
      <c r="H478" s="28"/>
    </row>
    <row r="479">
      <c r="H479" s="28"/>
    </row>
    <row r="480">
      <c r="H480" s="28"/>
    </row>
    <row r="481">
      <c r="H481" s="28"/>
    </row>
    <row r="482">
      <c r="H482" s="28"/>
    </row>
    <row r="483">
      <c r="H483" s="28"/>
    </row>
    <row r="484">
      <c r="H484" s="28"/>
    </row>
    <row r="485">
      <c r="H485" s="28"/>
    </row>
    <row r="486">
      <c r="H486" s="28"/>
    </row>
    <row r="487">
      <c r="H487" s="28"/>
    </row>
    <row r="488">
      <c r="H488" s="28"/>
    </row>
    <row r="489">
      <c r="H489" s="28"/>
    </row>
    <row r="490">
      <c r="H490" s="28"/>
    </row>
    <row r="491">
      <c r="H491" s="28"/>
    </row>
    <row r="492">
      <c r="H492" s="28"/>
    </row>
    <row r="493">
      <c r="H493" s="28"/>
    </row>
    <row r="494">
      <c r="H494" s="28"/>
    </row>
    <row r="495">
      <c r="H495" s="28"/>
    </row>
    <row r="496">
      <c r="H496" s="28"/>
    </row>
    <row r="497">
      <c r="H497" s="28"/>
    </row>
    <row r="498">
      <c r="H498" s="28"/>
    </row>
    <row r="499">
      <c r="H499" s="28"/>
    </row>
    <row r="500">
      <c r="H500" s="28"/>
    </row>
    <row r="501">
      <c r="H501" s="28"/>
    </row>
    <row r="502">
      <c r="H502" s="28"/>
    </row>
    <row r="503">
      <c r="H503" s="28"/>
    </row>
    <row r="504">
      <c r="H504" s="28"/>
    </row>
    <row r="505">
      <c r="H505" s="28"/>
    </row>
    <row r="506">
      <c r="H506" s="28"/>
    </row>
    <row r="507">
      <c r="H507" s="28"/>
    </row>
    <row r="508">
      <c r="H508" s="28"/>
    </row>
    <row r="509">
      <c r="H509" s="28"/>
    </row>
    <row r="510">
      <c r="H510" s="28"/>
    </row>
    <row r="511">
      <c r="H511" s="28"/>
    </row>
    <row r="512">
      <c r="H512" s="28"/>
    </row>
    <row r="513">
      <c r="H513" s="28"/>
    </row>
    <row r="514">
      <c r="H514" s="28"/>
    </row>
    <row r="515">
      <c r="H515" s="28"/>
    </row>
    <row r="516">
      <c r="H516" s="28"/>
    </row>
    <row r="517">
      <c r="H517" s="28"/>
    </row>
    <row r="518">
      <c r="H518" s="28"/>
    </row>
    <row r="519">
      <c r="H519" s="28"/>
    </row>
    <row r="520">
      <c r="H520" s="28"/>
    </row>
    <row r="521">
      <c r="H521" s="28"/>
    </row>
    <row r="522">
      <c r="H522" s="28"/>
    </row>
    <row r="523">
      <c r="H523" s="28"/>
    </row>
    <row r="524">
      <c r="H524" s="28"/>
    </row>
    <row r="525">
      <c r="H525" s="28"/>
    </row>
    <row r="526">
      <c r="H526" s="28"/>
    </row>
    <row r="527">
      <c r="H527" s="28"/>
    </row>
    <row r="528">
      <c r="H528" s="28"/>
    </row>
    <row r="529">
      <c r="H529" s="28"/>
    </row>
    <row r="530">
      <c r="H530" s="28"/>
    </row>
    <row r="531">
      <c r="H531" s="28"/>
    </row>
    <row r="532">
      <c r="H532" s="28"/>
    </row>
    <row r="533">
      <c r="H533" s="28"/>
    </row>
    <row r="534">
      <c r="H534" s="28"/>
    </row>
    <row r="535">
      <c r="H535" s="28"/>
    </row>
    <row r="536">
      <c r="H536" s="28"/>
    </row>
    <row r="537">
      <c r="H537" s="28"/>
    </row>
    <row r="538">
      <c r="H538" s="28"/>
    </row>
    <row r="539">
      <c r="H539" s="28"/>
    </row>
    <row r="540">
      <c r="H540" s="28"/>
    </row>
    <row r="541">
      <c r="H541" s="28"/>
    </row>
    <row r="542">
      <c r="H542" s="28"/>
    </row>
    <row r="543">
      <c r="H543" s="28"/>
    </row>
    <row r="544">
      <c r="H544" s="28"/>
    </row>
    <row r="545">
      <c r="H545" s="28"/>
    </row>
    <row r="546">
      <c r="H546" s="28"/>
    </row>
    <row r="547">
      <c r="H547" s="28"/>
    </row>
    <row r="548">
      <c r="H548" s="28"/>
    </row>
    <row r="549">
      <c r="H549" s="28"/>
    </row>
    <row r="550">
      <c r="H550" s="28"/>
    </row>
    <row r="551">
      <c r="H551" s="28"/>
    </row>
    <row r="552">
      <c r="H552" s="28"/>
    </row>
    <row r="553">
      <c r="H553" s="28"/>
    </row>
    <row r="554">
      <c r="H554" s="28"/>
    </row>
    <row r="555">
      <c r="H555" s="28"/>
    </row>
    <row r="556">
      <c r="H556" s="28"/>
    </row>
    <row r="557">
      <c r="H557" s="28"/>
    </row>
    <row r="558">
      <c r="H558" s="28"/>
    </row>
    <row r="559">
      <c r="H559" s="28"/>
    </row>
    <row r="560">
      <c r="H560" s="28"/>
    </row>
    <row r="561">
      <c r="H561" s="28"/>
    </row>
    <row r="562">
      <c r="H562" s="28"/>
    </row>
    <row r="563">
      <c r="H563" s="28"/>
    </row>
    <row r="564">
      <c r="H564" s="28"/>
    </row>
    <row r="565">
      <c r="H565" s="28"/>
    </row>
    <row r="566">
      <c r="H566" s="28"/>
    </row>
    <row r="567">
      <c r="H567" s="28"/>
    </row>
    <row r="568">
      <c r="H568" s="28"/>
    </row>
    <row r="569">
      <c r="H569" s="28"/>
    </row>
    <row r="570">
      <c r="H570" s="28"/>
    </row>
    <row r="571">
      <c r="H571" s="28"/>
    </row>
    <row r="572">
      <c r="H572" s="28"/>
    </row>
    <row r="573">
      <c r="H573" s="28"/>
    </row>
    <row r="574">
      <c r="H574" s="28"/>
    </row>
    <row r="575">
      <c r="H575" s="28"/>
    </row>
    <row r="576">
      <c r="H576" s="28"/>
    </row>
    <row r="577">
      <c r="H577" s="28"/>
    </row>
    <row r="578">
      <c r="H578" s="28"/>
    </row>
    <row r="579">
      <c r="H579" s="28"/>
    </row>
    <row r="580">
      <c r="H580" s="28"/>
    </row>
    <row r="581">
      <c r="H581" s="28"/>
    </row>
    <row r="582">
      <c r="H582" s="28"/>
    </row>
    <row r="583">
      <c r="H583" s="28"/>
    </row>
    <row r="584">
      <c r="H584" s="28"/>
    </row>
    <row r="585">
      <c r="H585" s="28"/>
    </row>
    <row r="586">
      <c r="H586" s="28"/>
    </row>
    <row r="587">
      <c r="H587" s="28"/>
    </row>
    <row r="588">
      <c r="H588" s="28"/>
    </row>
    <row r="589">
      <c r="H589" s="28"/>
    </row>
    <row r="590">
      <c r="H590" s="28"/>
    </row>
    <row r="591">
      <c r="H591" s="28"/>
    </row>
    <row r="592">
      <c r="H592" s="28"/>
    </row>
    <row r="593">
      <c r="H593" s="28"/>
    </row>
    <row r="594">
      <c r="H594" s="28"/>
    </row>
    <row r="595">
      <c r="H595" s="28"/>
    </row>
    <row r="596">
      <c r="H596" s="28"/>
    </row>
    <row r="597">
      <c r="H597" s="28"/>
    </row>
    <row r="598">
      <c r="H598" s="28"/>
    </row>
    <row r="599">
      <c r="H599" s="28"/>
    </row>
    <row r="600">
      <c r="H600" s="28"/>
    </row>
    <row r="601">
      <c r="H601" s="28"/>
    </row>
    <row r="602">
      <c r="H602" s="28"/>
    </row>
    <row r="603">
      <c r="H603" s="28"/>
    </row>
    <row r="604">
      <c r="H604" s="28"/>
    </row>
    <row r="605">
      <c r="H605" s="28"/>
    </row>
    <row r="606">
      <c r="H606" s="28"/>
    </row>
    <row r="607">
      <c r="H607" s="28"/>
    </row>
    <row r="608">
      <c r="H608" s="28"/>
    </row>
    <row r="609">
      <c r="H609" s="28"/>
    </row>
    <row r="610">
      <c r="H610" s="28"/>
    </row>
    <row r="611">
      <c r="H611" s="28"/>
    </row>
    <row r="612">
      <c r="H612" s="28"/>
    </row>
    <row r="613">
      <c r="H613" s="28"/>
    </row>
    <row r="614">
      <c r="H614" s="28"/>
    </row>
    <row r="615">
      <c r="H615" s="28"/>
    </row>
    <row r="616">
      <c r="H616" s="28"/>
    </row>
    <row r="617">
      <c r="H617" s="28"/>
    </row>
    <row r="618">
      <c r="H618" s="28"/>
    </row>
    <row r="619">
      <c r="H619" s="28"/>
    </row>
    <row r="620">
      <c r="H620" s="28"/>
    </row>
    <row r="621">
      <c r="H621" s="28"/>
    </row>
    <row r="622">
      <c r="H622" s="28"/>
    </row>
    <row r="623">
      <c r="H623" s="28"/>
    </row>
    <row r="624">
      <c r="H624" s="28"/>
    </row>
    <row r="625">
      <c r="H625" s="28"/>
    </row>
    <row r="626">
      <c r="H626" s="28"/>
    </row>
    <row r="627">
      <c r="H627" s="28"/>
    </row>
    <row r="628">
      <c r="H628" s="28"/>
    </row>
    <row r="629">
      <c r="H629" s="28"/>
    </row>
    <row r="630">
      <c r="H630" s="28"/>
    </row>
    <row r="631">
      <c r="H631" s="28"/>
    </row>
    <row r="632">
      <c r="H632" s="28"/>
    </row>
    <row r="633">
      <c r="H633" s="28"/>
    </row>
    <row r="634">
      <c r="H634" s="28"/>
    </row>
    <row r="635">
      <c r="H635" s="28"/>
    </row>
    <row r="636">
      <c r="H636" s="28"/>
    </row>
    <row r="637">
      <c r="H637" s="28"/>
    </row>
    <row r="638">
      <c r="H638" s="28"/>
    </row>
    <row r="639">
      <c r="H639" s="28"/>
    </row>
    <row r="640">
      <c r="H640" s="28"/>
    </row>
    <row r="641">
      <c r="H641" s="28"/>
    </row>
    <row r="642">
      <c r="H642" s="28"/>
    </row>
    <row r="643">
      <c r="H643" s="28"/>
    </row>
    <row r="644">
      <c r="H644" s="28"/>
    </row>
    <row r="645">
      <c r="H645" s="28"/>
    </row>
    <row r="646">
      <c r="H646" s="28"/>
    </row>
    <row r="647">
      <c r="H647" s="28"/>
    </row>
    <row r="648">
      <c r="H648" s="28"/>
    </row>
    <row r="649">
      <c r="H649" s="28"/>
    </row>
    <row r="650">
      <c r="H650" s="28"/>
    </row>
    <row r="651">
      <c r="H651" s="28"/>
    </row>
    <row r="652">
      <c r="H652" s="28"/>
    </row>
    <row r="653">
      <c r="H653" s="28"/>
    </row>
    <row r="654">
      <c r="H654" s="28"/>
    </row>
    <row r="655">
      <c r="H655" s="28"/>
    </row>
    <row r="656">
      <c r="H656" s="28"/>
    </row>
    <row r="657">
      <c r="H657" s="28"/>
    </row>
    <row r="658">
      <c r="H658" s="28"/>
    </row>
    <row r="659">
      <c r="H659" s="28"/>
    </row>
    <row r="660">
      <c r="H660" s="28"/>
    </row>
    <row r="661">
      <c r="H661" s="28"/>
    </row>
    <row r="662">
      <c r="H662" s="28"/>
    </row>
    <row r="663">
      <c r="H663" s="28"/>
    </row>
    <row r="664">
      <c r="H664" s="28"/>
    </row>
    <row r="665">
      <c r="H665" s="28"/>
    </row>
    <row r="666">
      <c r="H666" s="28"/>
    </row>
    <row r="667">
      <c r="H667" s="28"/>
    </row>
    <row r="668">
      <c r="H668" s="28"/>
    </row>
    <row r="669">
      <c r="H669" s="28"/>
    </row>
    <row r="670">
      <c r="H670" s="28"/>
    </row>
    <row r="671">
      <c r="H671" s="28"/>
    </row>
    <row r="672">
      <c r="H672" s="28"/>
    </row>
    <row r="673">
      <c r="H673" s="28"/>
    </row>
    <row r="674">
      <c r="H674" s="28"/>
    </row>
    <row r="675">
      <c r="H675" s="28"/>
    </row>
    <row r="676">
      <c r="H676" s="28"/>
    </row>
    <row r="677">
      <c r="H677" s="28"/>
    </row>
    <row r="678">
      <c r="H678" s="28"/>
    </row>
    <row r="679">
      <c r="H679" s="28"/>
    </row>
    <row r="680">
      <c r="H680" s="28"/>
    </row>
    <row r="681">
      <c r="H681" s="28"/>
    </row>
    <row r="682">
      <c r="H682" s="28"/>
    </row>
    <row r="683">
      <c r="H683" s="28"/>
    </row>
    <row r="684">
      <c r="H684" s="28"/>
    </row>
    <row r="685">
      <c r="H685" s="28"/>
    </row>
    <row r="686">
      <c r="H686" s="28"/>
    </row>
    <row r="687">
      <c r="H687" s="28"/>
    </row>
    <row r="688">
      <c r="H688" s="28"/>
    </row>
    <row r="689">
      <c r="H689" s="28"/>
    </row>
    <row r="690">
      <c r="H690" s="28"/>
    </row>
    <row r="691">
      <c r="H691" s="28"/>
    </row>
    <row r="692">
      <c r="H692" s="28"/>
    </row>
    <row r="693">
      <c r="H693" s="28"/>
    </row>
    <row r="694">
      <c r="H694" s="28"/>
    </row>
    <row r="695">
      <c r="H695" s="28"/>
    </row>
    <row r="696">
      <c r="H696" s="28"/>
    </row>
    <row r="697">
      <c r="H697" s="28"/>
    </row>
    <row r="698">
      <c r="H698" s="28"/>
    </row>
    <row r="699">
      <c r="H699" s="28"/>
    </row>
    <row r="700">
      <c r="H700" s="28"/>
    </row>
    <row r="701">
      <c r="H701" s="28"/>
    </row>
    <row r="702">
      <c r="H702" s="28"/>
    </row>
    <row r="703">
      <c r="H703" s="28"/>
    </row>
    <row r="704">
      <c r="H704" s="28"/>
    </row>
    <row r="705">
      <c r="H705" s="28"/>
    </row>
    <row r="706">
      <c r="H706" s="28"/>
    </row>
    <row r="707">
      <c r="H707" s="28"/>
    </row>
    <row r="708">
      <c r="H708" s="28"/>
    </row>
    <row r="709">
      <c r="H709" s="28"/>
    </row>
    <row r="710">
      <c r="H710" s="28"/>
    </row>
    <row r="711">
      <c r="H711" s="28"/>
    </row>
    <row r="712">
      <c r="H712" s="28"/>
    </row>
    <row r="713">
      <c r="H713" s="28"/>
    </row>
    <row r="714">
      <c r="H714" s="28"/>
    </row>
    <row r="715">
      <c r="H715" s="28"/>
    </row>
    <row r="716">
      <c r="H716" s="28"/>
    </row>
    <row r="717">
      <c r="H717" s="28"/>
    </row>
    <row r="718">
      <c r="H718" s="28"/>
    </row>
    <row r="719">
      <c r="H719" s="28"/>
    </row>
    <row r="720">
      <c r="H720" s="28"/>
    </row>
    <row r="721">
      <c r="H721" s="28"/>
    </row>
    <row r="722">
      <c r="H722" s="28"/>
    </row>
    <row r="723">
      <c r="H723" s="28"/>
    </row>
    <row r="724">
      <c r="H724" s="28"/>
    </row>
    <row r="725">
      <c r="H725" s="28"/>
    </row>
    <row r="726">
      <c r="H726" s="28"/>
    </row>
    <row r="727">
      <c r="H727" s="28"/>
    </row>
    <row r="728">
      <c r="H728" s="28"/>
    </row>
    <row r="729">
      <c r="H729" s="28"/>
    </row>
    <row r="730">
      <c r="H730" s="28"/>
    </row>
    <row r="731">
      <c r="H731" s="28"/>
    </row>
    <row r="732">
      <c r="H732" s="28"/>
    </row>
    <row r="733">
      <c r="H733" s="28"/>
    </row>
    <row r="734">
      <c r="H734" s="28"/>
    </row>
    <row r="735">
      <c r="H735" s="28"/>
    </row>
    <row r="736">
      <c r="H736" s="28"/>
    </row>
    <row r="737">
      <c r="H737" s="28"/>
    </row>
    <row r="738">
      <c r="H738" s="28"/>
    </row>
    <row r="739">
      <c r="H739" s="28"/>
    </row>
    <row r="740">
      <c r="H740" s="28"/>
    </row>
    <row r="741">
      <c r="H741" s="28"/>
    </row>
    <row r="742">
      <c r="H742" s="28"/>
    </row>
    <row r="743">
      <c r="H743" s="28"/>
    </row>
    <row r="744">
      <c r="H744" s="28"/>
    </row>
    <row r="745">
      <c r="H745" s="28"/>
    </row>
    <row r="746">
      <c r="H746" s="28"/>
    </row>
    <row r="747">
      <c r="H747" s="28"/>
    </row>
    <row r="748">
      <c r="H748" s="28"/>
    </row>
    <row r="749">
      <c r="H749" s="28"/>
    </row>
    <row r="750">
      <c r="H750" s="28"/>
    </row>
    <row r="751">
      <c r="H751" s="28"/>
    </row>
    <row r="752">
      <c r="H752" s="28"/>
    </row>
    <row r="753">
      <c r="H753" s="28"/>
    </row>
    <row r="754">
      <c r="H754" s="28"/>
    </row>
    <row r="755">
      <c r="H755" s="28"/>
    </row>
    <row r="756">
      <c r="H756" s="28"/>
    </row>
    <row r="757">
      <c r="H757" s="28"/>
    </row>
    <row r="758">
      <c r="H758" s="28"/>
    </row>
    <row r="759">
      <c r="H759" s="28"/>
    </row>
    <row r="760">
      <c r="H760" s="28"/>
    </row>
    <row r="761">
      <c r="H761" s="28"/>
    </row>
    <row r="762">
      <c r="H762" s="28"/>
    </row>
    <row r="763">
      <c r="H763" s="28"/>
    </row>
    <row r="764">
      <c r="H764" s="28"/>
    </row>
    <row r="765">
      <c r="H765" s="28"/>
    </row>
    <row r="766">
      <c r="H766" s="28"/>
    </row>
    <row r="767">
      <c r="H767" s="28"/>
    </row>
    <row r="768">
      <c r="H768" s="28"/>
    </row>
    <row r="769">
      <c r="H769" s="28"/>
    </row>
    <row r="770">
      <c r="H770" s="28"/>
    </row>
    <row r="771">
      <c r="H771" s="28"/>
    </row>
    <row r="772">
      <c r="H772" s="28"/>
    </row>
    <row r="773">
      <c r="H773" s="28"/>
    </row>
    <row r="774">
      <c r="H774" s="28"/>
    </row>
    <row r="775">
      <c r="H775" s="28"/>
    </row>
    <row r="776">
      <c r="H776" s="28"/>
    </row>
    <row r="777">
      <c r="H777" s="28"/>
    </row>
    <row r="778">
      <c r="H778" s="28"/>
    </row>
    <row r="779">
      <c r="H779" s="28"/>
    </row>
    <row r="780">
      <c r="H780" s="28"/>
    </row>
    <row r="781">
      <c r="H781" s="28"/>
    </row>
    <row r="782">
      <c r="H782" s="28"/>
    </row>
    <row r="783">
      <c r="H783" s="28"/>
    </row>
    <row r="784">
      <c r="H784" s="28"/>
    </row>
    <row r="785">
      <c r="H785" s="28"/>
    </row>
    <row r="786">
      <c r="H786" s="28"/>
    </row>
    <row r="787">
      <c r="H787" s="28"/>
    </row>
    <row r="788">
      <c r="H788" s="28"/>
    </row>
    <row r="789">
      <c r="H789" s="28"/>
    </row>
    <row r="790">
      <c r="H790" s="28"/>
    </row>
    <row r="791">
      <c r="H791" s="28"/>
    </row>
    <row r="792">
      <c r="H792" s="28"/>
    </row>
    <row r="793">
      <c r="H793" s="28"/>
    </row>
    <row r="794">
      <c r="H794" s="28"/>
    </row>
    <row r="795">
      <c r="H795" s="28"/>
    </row>
    <row r="796">
      <c r="H796" s="28"/>
    </row>
    <row r="797">
      <c r="H797" s="28"/>
    </row>
    <row r="798">
      <c r="H798" s="28"/>
    </row>
    <row r="799">
      <c r="H799" s="28"/>
    </row>
    <row r="800">
      <c r="H800" s="28"/>
    </row>
    <row r="801">
      <c r="H801" s="28"/>
    </row>
    <row r="802">
      <c r="H802" s="28"/>
    </row>
    <row r="803">
      <c r="H803" s="28"/>
    </row>
    <row r="804">
      <c r="H804" s="28"/>
    </row>
    <row r="805">
      <c r="H805" s="28"/>
    </row>
    <row r="806">
      <c r="H806" s="28"/>
    </row>
    <row r="807">
      <c r="H807" s="28"/>
    </row>
    <row r="808">
      <c r="H808" s="28"/>
    </row>
    <row r="809">
      <c r="H809" s="28"/>
    </row>
    <row r="810">
      <c r="H810" s="28"/>
    </row>
    <row r="811">
      <c r="H811" s="28"/>
    </row>
    <row r="812">
      <c r="H812" s="28"/>
    </row>
    <row r="813">
      <c r="H813" s="28"/>
    </row>
    <row r="814">
      <c r="H814" s="28"/>
    </row>
    <row r="815">
      <c r="H815" s="28"/>
    </row>
    <row r="816">
      <c r="H816" s="28"/>
    </row>
    <row r="817">
      <c r="H817" s="28"/>
    </row>
    <row r="818">
      <c r="H818" s="28"/>
    </row>
    <row r="819">
      <c r="H819" s="28"/>
    </row>
    <row r="820">
      <c r="H820" s="28"/>
    </row>
    <row r="821">
      <c r="H821" s="28"/>
    </row>
    <row r="822">
      <c r="H822" s="28"/>
    </row>
    <row r="823">
      <c r="H823" s="28"/>
    </row>
    <row r="824">
      <c r="H824" s="28"/>
    </row>
    <row r="825">
      <c r="H825" s="28"/>
    </row>
    <row r="826">
      <c r="H826" s="28"/>
    </row>
    <row r="827">
      <c r="H827" s="28"/>
    </row>
    <row r="828">
      <c r="H828" s="28"/>
    </row>
    <row r="829">
      <c r="H829" s="28"/>
    </row>
    <row r="830">
      <c r="H830" s="28"/>
    </row>
    <row r="831">
      <c r="H831" s="28"/>
    </row>
    <row r="832">
      <c r="H832" s="28"/>
    </row>
    <row r="833">
      <c r="H833" s="28"/>
    </row>
    <row r="834">
      <c r="H834" s="28"/>
    </row>
    <row r="835">
      <c r="H835" s="28"/>
    </row>
    <row r="836">
      <c r="H836" s="28"/>
    </row>
    <row r="837">
      <c r="H837" s="28"/>
    </row>
    <row r="838">
      <c r="H838" s="28"/>
    </row>
    <row r="839">
      <c r="H839" s="28"/>
    </row>
    <row r="840">
      <c r="H840" s="28"/>
    </row>
    <row r="841">
      <c r="H841" s="28"/>
    </row>
    <row r="842">
      <c r="H842" s="28"/>
    </row>
    <row r="843">
      <c r="H843" s="28"/>
    </row>
    <row r="844">
      <c r="H844" s="28"/>
    </row>
    <row r="845">
      <c r="H845" s="28"/>
    </row>
    <row r="846">
      <c r="H846" s="28"/>
    </row>
    <row r="847">
      <c r="H847" s="28"/>
    </row>
    <row r="848">
      <c r="H848" s="28"/>
    </row>
    <row r="849">
      <c r="H849" s="28"/>
    </row>
    <row r="850">
      <c r="H850" s="28"/>
    </row>
    <row r="851">
      <c r="H851" s="28"/>
    </row>
    <row r="852">
      <c r="H852" s="28"/>
    </row>
    <row r="853">
      <c r="H853" s="28"/>
    </row>
    <row r="854">
      <c r="H854" s="28"/>
    </row>
    <row r="855">
      <c r="H855" s="28"/>
    </row>
    <row r="856">
      <c r="H856" s="28"/>
    </row>
    <row r="857">
      <c r="H857" s="28"/>
    </row>
    <row r="858">
      <c r="H858" s="28"/>
    </row>
    <row r="859">
      <c r="H859" s="28"/>
    </row>
    <row r="860">
      <c r="H860" s="28"/>
    </row>
    <row r="861">
      <c r="H861" s="28"/>
    </row>
    <row r="862">
      <c r="H862" s="28"/>
    </row>
    <row r="863">
      <c r="H863" s="28"/>
    </row>
    <row r="864">
      <c r="H864" s="28"/>
    </row>
    <row r="865">
      <c r="H865" s="28"/>
    </row>
    <row r="866">
      <c r="H866" s="28"/>
    </row>
    <row r="867">
      <c r="H867" s="28"/>
    </row>
    <row r="868">
      <c r="H868" s="28"/>
    </row>
    <row r="869">
      <c r="H869" s="28"/>
    </row>
    <row r="870">
      <c r="H870" s="28"/>
    </row>
    <row r="871">
      <c r="H871" s="28"/>
    </row>
    <row r="872">
      <c r="H872" s="28"/>
    </row>
    <row r="873">
      <c r="H873" s="28"/>
    </row>
    <row r="874">
      <c r="H874" s="28"/>
    </row>
    <row r="875">
      <c r="H875" s="28"/>
    </row>
    <row r="876">
      <c r="H876" s="28"/>
    </row>
    <row r="877">
      <c r="H877" s="28"/>
    </row>
    <row r="878">
      <c r="H878" s="28"/>
    </row>
    <row r="879">
      <c r="H879" s="28"/>
    </row>
    <row r="880">
      <c r="H880" s="28"/>
    </row>
    <row r="881">
      <c r="H881" s="28"/>
    </row>
    <row r="882">
      <c r="H882" s="28"/>
    </row>
    <row r="883">
      <c r="H883" s="28"/>
    </row>
    <row r="884">
      <c r="H884" s="28"/>
    </row>
    <row r="885">
      <c r="H885" s="28"/>
    </row>
    <row r="886">
      <c r="H886" s="28"/>
    </row>
    <row r="887">
      <c r="H887" s="28"/>
    </row>
    <row r="888">
      <c r="H888" s="28"/>
    </row>
    <row r="889">
      <c r="H889" s="28"/>
    </row>
    <row r="890">
      <c r="H890" s="28"/>
    </row>
    <row r="891">
      <c r="H891" s="28"/>
    </row>
    <row r="892">
      <c r="H892" s="28"/>
    </row>
    <row r="893">
      <c r="H893" s="28"/>
    </row>
    <row r="894">
      <c r="H894" s="28"/>
    </row>
    <row r="895">
      <c r="H895" s="28"/>
    </row>
    <row r="896">
      <c r="H896" s="28"/>
    </row>
    <row r="897">
      <c r="H897" s="28"/>
    </row>
    <row r="898">
      <c r="H898" s="28"/>
    </row>
    <row r="899">
      <c r="H899" s="28"/>
    </row>
    <row r="900">
      <c r="H900" s="28"/>
    </row>
    <row r="901">
      <c r="H901" s="28"/>
    </row>
    <row r="902">
      <c r="H902" s="28"/>
    </row>
    <row r="903">
      <c r="H903" s="28"/>
    </row>
    <row r="904">
      <c r="H904" s="28"/>
    </row>
    <row r="905">
      <c r="H905" s="28"/>
    </row>
    <row r="906">
      <c r="H906" s="28"/>
    </row>
    <row r="907">
      <c r="H907" s="28"/>
    </row>
    <row r="908">
      <c r="H908" s="28"/>
    </row>
    <row r="909">
      <c r="H909" s="28"/>
    </row>
    <row r="910">
      <c r="H910" s="28"/>
    </row>
    <row r="911">
      <c r="H911" s="28"/>
    </row>
    <row r="912">
      <c r="H912" s="28"/>
    </row>
    <row r="913">
      <c r="H913" s="28"/>
    </row>
    <row r="914">
      <c r="H914" s="28"/>
    </row>
    <row r="915">
      <c r="H915" s="28"/>
    </row>
    <row r="916">
      <c r="H916" s="28"/>
    </row>
    <row r="917">
      <c r="H917" s="28"/>
    </row>
    <row r="918">
      <c r="H918" s="28"/>
    </row>
    <row r="919">
      <c r="H919" s="28"/>
    </row>
    <row r="920">
      <c r="H920" s="28"/>
    </row>
    <row r="921">
      <c r="H921" s="28"/>
    </row>
    <row r="922">
      <c r="H922" s="28"/>
    </row>
    <row r="923">
      <c r="H923" s="28"/>
    </row>
    <row r="924">
      <c r="H924" s="28"/>
    </row>
    <row r="925">
      <c r="H925" s="28"/>
    </row>
    <row r="926">
      <c r="H926" s="28"/>
    </row>
    <row r="927">
      <c r="H927" s="28"/>
    </row>
    <row r="928">
      <c r="H928" s="28"/>
    </row>
    <row r="929">
      <c r="H929" s="28"/>
    </row>
    <row r="930">
      <c r="H930" s="28"/>
    </row>
    <row r="931">
      <c r="H931" s="28"/>
    </row>
    <row r="932">
      <c r="H932" s="28"/>
    </row>
    <row r="933">
      <c r="H933" s="28"/>
    </row>
    <row r="934">
      <c r="H934" s="28"/>
    </row>
    <row r="935">
      <c r="H935" s="28"/>
    </row>
    <row r="936">
      <c r="H936" s="28"/>
    </row>
    <row r="937">
      <c r="H937" s="28"/>
    </row>
    <row r="938">
      <c r="H938" s="28"/>
    </row>
    <row r="939">
      <c r="H939" s="28"/>
    </row>
    <row r="940">
      <c r="H940" s="28"/>
    </row>
    <row r="941">
      <c r="H941" s="28"/>
    </row>
    <row r="942">
      <c r="H942" s="28"/>
    </row>
    <row r="943">
      <c r="H943" s="28"/>
    </row>
    <row r="944">
      <c r="H944" s="28"/>
    </row>
    <row r="945">
      <c r="H945" s="28"/>
    </row>
    <row r="946">
      <c r="H946" s="28"/>
    </row>
    <row r="947">
      <c r="H947" s="28"/>
    </row>
    <row r="948">
      <c r="H948" s="28"/>
    </row>
    <row r="949">
      <c r="H949" s="28"/>
    </row>
    <row r="950">
      <c r="H950" s="28"/>
    </row>
    <row r="951">
      <c r="H951" s="28"/>
    </row>
    <row r="952">
      <c r="H952" s="28"/>
    </row>
    <row r="953">
      <c r="H953" s="28"/>
    </row>
    <row r="954">
      <c r="H954" s="28"/>
    </row>
    <row r="955">
      <c r="H955" s="28"/>
    </row>
    <row r="956">
      <c r="H956" s="28"/>
    </row>
    <row r="957">
      <c r="H957" s="28"/>
    </row>
    <row r="958">
      <c r="H958" s="28"/>
    </row>
    <row r="959">
      <c r="H959" s="28"/>
    </row>
    <row r="960">
      <c r="H960" s="28"/>
    </row>
    <row r="961">
      <c r="H961" s="28"/>
    </row>
    <row r="962">
      <c r="H962" s="28"/>
    </row>
    <row r="963">
      <c r="H963" s="28"/>
    </row>
    <row r="964">
      <c r="H964" s="28"/>
    </row>
    <row r="965">
      <c r="H965" s="28"/>
    </row>
    <row r="966">
      <c r="H966" s="28"/>
    </row>
    <row r="967">
      <c r="H967" s="28"/>
    </row>
    <row r="968">
      <c r="H968" s="28"/>
    </row>
    <row r="969">
      <c r="H969" s="28"/>
    </row>
    <row r="970">
      <c r="H970" s="28"/>
    </row>
    <row r="971">
      <c r="H971" s="28"/>
    </row>
    <row r="972">
      <c r="H972" s="28"/>
    </row>
    <row r="973">
      <c r="H973" s="28"/>
    </row>
    <row r="974">
      <c r="H974" s="28"/>
    </row>
    <row r="975">
      <c r="H975" s="28"/>
    </row>
    <row r="976">
      <c r="H976" s="28"/>
    </row>
    <row r="977">
      <c r="H977" s="28"/>
    </row>
    <row r="978">
      <c r="H978" s="28"/>
    </row>
    <row r="979">
      <c r="H979" s="28"/>
    </row>
    <row r="980">
      <c r="H980" s="28"/>
    </row>
    <row r="981">
      <c r="H981" s="28"/>
    </row>
    <row r="982">
      <c r="H982" s="28"/>
    </row>
    <row r="983">
      <c r="H983" s="28"/>
    </row>
    <row r="984">
      <c r="H984" s="28"/>
    </row>
    <row r="985">
      <c r="H985" s="28"/>
    </row>
    <row r="986">
      <c r="H986" s="28"/>
    </row>
    <row r="987">
      <c r="H987" s="28"/>
    </row>
    <row r="988">
      <c r="H988" s="28"/>
    </row>
    <row r="989">
      <c r="H989" s="28"/>
    </row>
    <row r="990">
      <c r="H990" s="28"/>
    </row>
    <row r="991">
      <c r="H991" s="28"/>
    </row>
    <row r="992">
      <c r="H992" s="28"/>
    </row>
    <row r="993">
      <c r="H993" s="28"/>
    </row>
    <row r="994">
      <c r="H994" s="28"/>
    </row>
    <row r="995">
      <c r="H995" s="28"/>
    </row>
    <row r="996">
      <c r="H996" s="28"/>
    </row>
    <row r="997">
      <c r="H997" s="28"/>
    </row>
    <row r="998">
      <c r="H998" s="28"/>
    </row>
    <row r="999">
      <c r="H999" s="28"/>
    </row>
    <row r="1000">
      <c r="H1000" s="28"/>
    </row>
    <row r="1001">
      <c r="H1001" s="28"/>
    </row>
    <row r="1002">
      <c r="H1002" s="28"/>
    </row>
    <row r="1003">
      <c r="H1003" s="28"/>
    </row>
    <row r="1004">
      <c r="H1004" s="28"/>
    </row>
    <row r="1005">
      <c r="H1005" s="28"/>
    </row>
    <row r="1006">
      <c r="H1006" s="28"/>
    </row>
    <row r="1007">
      <c r="H1007" s="28"/>
    </row>
    <row r="1008">
      <c r="H1008" s="28"/>
    </row>
    <row r="1009">
      <c r="H1009" s="28"/>
    </row>
    <row r="1010">
      <c r="H1010" s="28"/>
    </row>
    <row r="1011">
      <c r="H1011" s="28"/>
    </row>
    <row r="1012">
      <c r="H1012" s="28"/>
    </row>
    <row r="1013">
      <c r="H1013" s="28"/>
    </row>
    <row r="1014">
      <c r="H1014" s="28"/>
    </row>
    <row r="1015">
      <c r="H1015" s="28"/>
    </row>
    <row r="1016">
      <c r="H1016" s="28"/>
    </row>
    <row r="1017">
      <c r="H1017" s="28"/>
    </row>
    <row r="1018">
      <c r="H1018" s="28"/>
    </row>
    <row r="1019">
      <c r="H1019" s="28"/>
    </row>
    <row r="1020">
      <c r="H1020" s="28"/>
    </row>
    <row r="1021">
      <c r="H1021" s="28"/>
    </row>
    <row r="1022">
      <c r="H1022" s="28"/>
    </row>
    <row r="1023">
      <c r="H1023" s="28"/>
    </row>
    <row r="1024">
      <c r="H1024" s="28"/>
    </row>
    <row r="1025">
      <c r="H1025" s="28"/>
    </row>
    <row r="1026">
      <c r="H1026" s="28"/>
    </row>
    <row r="1027">
      <c r="H1027" s="28"/>
    </row>
    <row r="1028">
      <c r="H1028" s="28"/>
    </row>
    <row r="1029">
      <c r="H1029" s="28"/>
    </row>
    <row r="1030">
      <c r="H1030" s="28"/>
    </row>
  </sheetData>
  <mergeCells count="5">
    <mergeCell ref="C3:C4"/>
    <mergeCell ref="D3:D4"/>
    <mergeCell ref="E3:E4"/>
    <mergeCell ref="F3:F4"/>
    <mergeCell ref="G3:G4"/>
  </mergeCells>
  <dataValidations>
    <dataValidation type="list" allowBlank="1" showErrorMessage="1" sqref="G6:G34 G36:G58">
      <formula1>"PASS,FAIL,Blocked,Not Tested"</formula1>
    </dataValidation>
    <dataValidation type="list" allowBlank="1" showErrorMessage="1" sqref="F6:F34 F36:F58">
      <formula1>"HIGH,MEDIUM,MINOR"</formula1>
    </dataValidation>
  </dataValidations>
  <hyperlinks>
    <hyperlink r:id="rId1" ref="B3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351</v>
      </c>
    </row>
    <row r="2">
      <c r="B2" s="26" t="s">
        <v>322</v>
      </c>
      <c r="C2" s="26" t="s">
        <v>352</v>
      </c>
      <c r="D2" s="26" t="s">
        <v>353</v>
      </c>
    </row>
    <row r="3">
      <c r="A3" s="26" t="s">
        <v>322</v>
      </c>
      <c r="B3" s="26" t="s">
        <v>354</v>
      </c>
      <c r="C3" s="26">
        <v>1.0</v>
      </c>
      <c r="D3" s="26">
        <v>1.0</v>
      </c>
    </row>
    <row r="4">
      <c r="A4" s="26" t="s">
        <v>352</v>
      </c>
      <c r="B4" s="26" t="s">
        <v>355</v>
      </c>
      <c r="C4" s="26" t="s">
        <v>354</v>
      </c>
      <c r="D4" s="26">
        <v>1.0</v>
      </c>
    </row>
    <row r="5">
      <c r="A5" s="26" t="s">
        <v>353</v>
      </c>
      <c r="B5" s="26">
        <v>1.0</v>
      </c>
      <c r="C5" s="26">
        <v>1.0</v>
      </c>
      <c r="D5" s="26" t="s">
        <v>354</v>
      </c>
    </row>
  </sheetData>
  <drawing r:id="rId1"/>
</worksheet>
</file>